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nikhi\OneDrive\Desktop\assignment\Ecom Business Analyst_Assignment_EBRPL\Assignment\Raw Data\"/>
    </mc:Choice>
  </mc:AlternateContent>
  <xr:revisionPtr revIDLastSave="0" documentId="13_ncr:1_{4AFEC346-C70A-4EB9-AA3F-F6FF58F2FF27}" xr6:coauthVersionLast="47" xr6:coauthVersionMax="47" xr10:uidLastSave="{00000000-0000-0000-0000-000000000000}"/>
  <bookViews>
    <workbookView xWindow="-120" yWindow="-120" windowWidth="20730" windowHeight="11040" activeTab="2" xr2:uid="{00000000-000D-0000-FFFF-FFFF00000000}"/>
  </bookViews>
  <sheets>
    <sheet name="Visuals" sheetId="7" r:id="rId1"/>
    <sheet name="Pivot" sheetId="6" r:id="rId2"/>
    <sheet name="1P+3P+Myntra" sheetId="2" r:id="rId3"/>
  </sheets>
  <externalReferences>
    <externalReference r:id="rId4"/>
    <externalReference r:id="rId5"/>
  </externalReferences>
  <definedNames>
    <definedName name="ExternalData_1" localSheetId="2" hidden="1">'1P+3P+Myntra'!$A$1:$G$698</definedName>
    <definedName name="Slicer_ASIN">#N/A</definedName>
    <definedName name="Slicer_Date">#N/A</definedName>
    <definedName name="Slicer_Sourc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50" i="2" l="1"/>
  <c r="D549" i="2"/>
  <c r="D548" i="2"/>
  <c r="D547" i="2"/>
  <c r="D541" i="2"/>
  <c r="D537" i="2"/>
  <c r="D535" i="2"/>
  <c r="D534" i="2"/>
  <c r="D533" i="2"/>
  <c r="D532" i="2"/>
  <c r="D531" i="2"/>
  <c r="D530" i="2"/>
  <c r="D527" i="2"/>
  <c r="D521" i="2"/>
  <c r="D518" i="2"/>
  <c r="D517" i="2"/>
  <c r="D511" i="2"/>
  <c r="D509" i="2"/>
  <c r="D508" i="2"/>
  <c r="D507" i="2"/>
  <c r="D506" i="2"/>
  <c r="D504" i="2"/>
  <c r="D503" i="2"/>
  <c r="D502" i="2"/>
  <c r="D499" i="2"/>
  <c r="D496" i="2"/>
  <c r="D495" i="2"/>
  <c r="D491" i="2"/>
  <c r="D485" i="2"/>
  <c r="D484" i="2"/>
  <c r="D482" i="2"/>
  <c r="D481" i="2"/>
  <c r="D480" i="2"/>
  <c r="D479" i="2"/>
  <c r="D478" i="2"/>
  <c r="D473" i="2"/>
  <c r="D471" i="2"/>
  <c r="D470" i="2"/>
  <c r="D469" i="2"/>
  <c r="D464" i="2"/>
  <c r="D459" i="2"/>
  <c r="D455" i="2"/>
  <c r="D454" i="2"/>
  <c r="D453" i="2"/>
  <c r="D452" i="2"/>
  <c r="D450" i="2"/>
  <c r="D449" i="2"/>
  <c r="D446" i="2"/>
  <c r="D445" i="2"/>
  <c r="D444" i="2"/>
  <c r="D443" i="2"/>
  <c r="D440" i="2"/>
  <c r="D438" i="2"/>
  <c r="D432" i="2"/>
  <c r="D431" i="2"/>
  <c r="D428" i="2"/>
  <c r="D427" i="2"/>
  <c r="D419" i="2"/>
  <c r="D418" i="2"/>
  <c r="D417" i="2"/>
  <c r="D414" i="2"/>
  <c r="D413" i="2"/>
  <c r="D412" i="2"/>
  <c r="D406" i="2"/>
  <c r="D405" i="2"/>
  <c r="D402" i="2"/>
  <c r="D39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2" i="2"/>
  <c r="C453" i="2"/>
  <c r="C454" i="2"/>
  <c r="C455" i="2"/>
  <c r="C457" i="2"/>
  <c r="C458" i="2"/>
  <c r="C459" i="2"/>
  <c r="C460" i="2"/>
  <c r="C461" i="2"/>
  <c r="C462" i="2"/>
  <c r="C463" i="2"/>
  <c r="C464" i="2"/>
  <c r="C465" i="2"/>
  <c r="C466" i="2"/>
  <c r="C467" i="2"/>
  <c r="C468" i="2"/>
  <c r="C469" i="2"/>
  <c r="C470" i="2"/>
  <c r="C471" i="2"/>
  <c r="C472" i="2"/>
  <c r="C473" i="2"/>
  <c r="C474" i="2"/>
  <c r="C475"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2" i="2"/>
  <c r="E394" i="2"/>
  <c r="E392" i="2"/>
  <c r="E391" i="2"/>
  <c r="E390" i="2"/>
  <c r="E389" i="2"/>
  <c r="E388" i="2"/>
  <c r="E387" i="2"/>
  <c r="E386" i="2"/>
  <c r="E383" i="2"/>
  <c r="E382" i="2"/>
  <c r="E381" i="2"/>
  <c r="E379" i="2"/>
  <c r="E378" i="2"/>
  <c r="E377" i="2"/>
  <c r="E376" i="2"/>
  <c r="E375" i="2"/>
  <c r="E373" i="2"/>
  <c r="E371" i="2"/>
  <c r="E370" i="2"/>
  <c r="E369" i="2"/>
  <c r="E368" i="2"/>
  <c r="E365" i="2"/>
  <c r="E364" i="2"/>
  <c r="E362" i="2"/>
  <c r="E361" i="2"/>
  <c r="E360" i="2"/>
  <c r="E359" i="2"/>
  <c r="E358" i="2"/>
  <c r="E357" i="2"/>
  <c r="E356" i="2"/>
  <c r="E355" i="2"/>
  <c r="E353" i="2"/>
  <c r="E352" i="2"/>
  <c r="E351" i="2"/>
  <c r="E348" i="2"/>
  <c r="E347" i="2"/>
  <c r="E345" i="2"/>
  <c r="E344" i="2"/>
  <c r="E342" i="2"/>
  <c r="E341" i="2"/>
  <c r="E337" i="2"/>
  <c r="E334" i="2"/>
  <c r="E331" i="2"/>
  <c r="E330" i="2"/>
  <c r="E329" i="2"/>
  <c r="E328" i="2"/>
  <c r="E324" i="2"/>
  <c r="E323" i="2"/>
  <c r="E319" i="2"/>
  <c r="E318" i="2"/>
  <c r="E317" i="2"/>
  <c r="E316" i="2"/>
  <c r="E315" i="2"/>
  <c r="E312" i="2"/>
  <c r="E311" i="2"/>
  <c r="E310" i="2"/>
  <c r="E309" i="2"/>
  <c r="E308" i="2"/>
  <c r="E307" i="2"/>
  <c r="E305" i="2"/>
  <c r="E304" i="2"/>
  <c r="E303" i="2"/>
  <c r="E301" i="2"/>
  <c r="E300" i="2"/>
  <c r="E299" i="2"/>
  <c r="E296" i="2"/>
  <c r="E295" i="2"/>
  <c r="E292" i="2"/>
  <c r="E290" i="2"/>
  <c r="E289" i="2"/>
  <c r="E288" i="2"/>
  <c r="E286" i="2"/>
  <c r="E285" i="2"/>
  <c r="E284" i="2"/>
  <c r="E283" i="2"/>
  <c r="E282" i="2"/>
  <c r="E281" i="2"/>
  <c r="E280" i="2"/>
  <c r="E279" i="2"/>
  <c r="E277" i="2"/>
  <c r="E276" i="2"/>
  <c r="E275" i="2"/>
  <c r="E274" i="2"/>
  <c r="E272" i="2"/>
  <c r="E271" i="2"/>
  <c r="E270" i="2"/>
  <c r="E269" i="2"/>
  <c r="E266" i="2"/>
  <c r="E263" i="2"/>
  <c r="E262" i="2"/>
  <c r="E261" i="2"/>
  <c r="E260" i="2"/>
  <c r="E256" i="2"/>
  <c r="E255" i="2"/>
  <c r="E254" i="2"/>
  <c r="E252" i="2"/>
  <c r="E249" i="2"/>
  <c r="E248" i="2"/>
  <c r="E247" i="2"/>
  <c r="E246" i="2"/>
  <c r="E244" i="2"/>
  <c r="E243" i="2"/>
  <c r="E242" i="2"/>
  <c r="E239" i="2"/>
  <c r="E238" i="2"/>
  <c r="E237" i="2"/>
  <c r="E236" i="2"/>
  <c r="E234" i="2"/>
  <c r="E232" i="2"/>
  <c r="E230" i="2"/>
  <c r="E229" i="2"/>
  <c r="E227" i="2"/>
  <c r="E226" i="2"/>
  <c r="E225" i="2"/>
  <c r="E224" i="2"/>
  <c r="E220" i="2"/>
  <c r="E219" i="2"/>
  <c r="E218" i="2"/>
  <c r="E217" i="2"/>
  <c r="E216" i="2"/>
  <c r="E215" i="2"/>
  <c r="E214" i="2"/>
  <c r="E212" i="2"/>
  <c r="E210" i="2"/>
  <c r="E208" i="2"/>
  <c r="E207" i="2"/>
  <c r="E206" i="2"/>
  <c r="E205" i="2"/>
  <c r="E204" i="2"/>
  <c r="E203" i="2"/>
  <c r="E200" i="2"/>
  <c r="E196" i="2"/>
  <c r="E194" i="2"/>
  <c r="E193" i="2"/>
  <c r="E191" i="2"/>
  <c r="E190" i="2"/>
  <c r="E189" i="2"/>
  <c r="E188" i="2"/>
  <c r="E187" i="2"/>
  <c r="E186" i="2"/>
  <c r="E184" i="2"/>
  <c r="E183" i="2"/>
  <c r="E181" i="2"/>
  <c r="E180" i="2"/>
  <c r="E179" i="2"/>
  <c r="E178" i="2"/>
  <c r="E176" i="2"/>
  <c r="E173" i="2"/>
  <c r="E172" i="2"/>
  <c r="E169" i="2"/>
  <c r="E168" i="2"/>
  <c r="E165" i="2"/>
  <c r="E164" i="2"/>
  <c r="E163" i="2"/>
  <c r="E162" i="2"/>
  <c r="E161" i="2"/>
  <c r="E160" i="2"/>
  <c r="E158" i="2"/>
  <c r="E157" i="2"/>
  <c r="E156" i="2"/>
  <c r="E155" i="2"/>
  <c r="E152" i="2"/>
  <c r="E151" i="2"/>
  <c r="E150" i="2"/>
  <c r="E148" i="2"/>
  <c r="E147" i="2"/>
  <c r="E145" i="2"/>
  <c r="E144" i="2"/>
  <c r="E143" i="2"/>
  <c r="E142" i="2"/>
  <c r="E141" i="2"/>
  <c r="E139" i="2"/>
  <c r="E138" i="2"/>
  <c r="E137" i="2"/>
  <c r="E136" i="2"/>
  <c r="E135" i="2"/>
  <c r="E132" i="2"/>
  <c r="E130" i="2"/>
  <c r="E129" i="2"/>
  <c r="E128" i="2"/>
  <c r="E127" i="2"/>
  <c r="E126" i="2"/>
  <c r="E125" i="2"/>
  <c r="E124" i="2"/>
  <c r="E123" i="2"/>
  <c r="E121" i="2"/>
  <c r="E120" i="2"/>
  <c r="E119" i="2"/>
  <c r="E117" i="2"/>
  <c r="E116" i="2"/>
  <c r="E113" i="2"/>
  <c r="E112" i="2"/>
  <c r="E111" i="2"/>
  <c r="E110" i="2"/>
  <c r="E108" i="2"/>
  <c r="E107" i="2"/>
  <c r="E104" i="2"/>
  <c r="E96" i="2"/>
  <c r="E95" i="2"/>
  <c r="E94" i="2"/>
  <c r="E93" i="2"/>
  <c r="E92" i="2"/>
  <c r="E90" i="2"/>
  <c r="E89" i="2"/>
  <c r="E87" i="2"/>
  <c r="E85" i="2"/>
  <c r="E83" i="2"/>
  <c r="E80" i="2"/>
  <c r="E79" i="2"/>
  <c r="E78" i="2"/>
  <c r="E76" i="2"/>
  <c r="E75" i="2"/>
  <c r="E74" i="2"/>
  <c r="E73" i="2"/>
  <c r="E72" i="2"/>
  <c r="E70" i="2"/>
  <c r="E69" i="2"/>
  <c r="E67" i="2"/>
  <c r="E66" i="2"/>
  <c r="E65" i="2"/>
  <c r="E64" i="2"/>
  <c r="E63" i="2"/>
  <c r="E62" i="2"/>
  <c r="E60" i="2"/>
  <c r="E59" i="2"/>
  <c r="E58" i="2"/>
  <c r="E57" i="2"/>
  <c r="E56" i="2"/>
  <c r="E55" i="2"/>
  <c r="E54" i="2"/>
  <c r="E53" i="2"/>
  <c r="E52" i="2"/>
  <c r="E50" i="2"/>
  <c r="E49" i="2"/>
  <c r="E48" i="2"/>
  <c r="E47" i="2"/>
  <c r="E46" i="2"/>
  <c r="E45" i="2"/>
  <c r="E43" i="2"/>
  <c r="E42" i="2"/>
  <c r="E41" i="2"/>
  <c r="E39" i="2"/>
  <c r="E36" i="2"/>
  <c r="E34" i="2"/>
  <c r="E33" i="2"/>
  <c r="E32" i="2"/>
  <c r="E30" i="2"/>
  <c r="E29" i="2"/>
  <c r="E28" i="2"/>
  <c r="E27" i="2"/>
  <c r="E24" i="2"/>
  <c r="E21" i="2"/>
  <c r="E19" i="2"/>
  <c r="E17" i="2"/>
  <c r="E16" i="2"/>
  <c r="E7" i="2"/>
  <c r="E2" i="2"/>
  <c r="E3" i="2"/>
  <c r="E4" i="2"/>
  <c r="E5" i="2"/>
  <c r="P698" i="2"/>
  <c r="B698" i="2" s="1"/>
  <c r="P697" i="2"/>
  <c r="B697" i="2" s="1"/>
  <c r="P696" i="2"/>
  <c r="B696" i="2" s="1"/>
  <c r="P695" i="2"/>
  <c r="B695" i="2" s="1"/>
  <c r="P694" i="2"/>
  <c r="B694" i="2" s="1"/>
  <c r="P693" i="2"/>
  <c r="B693" i="2" s="1"/>
  <c r="P692" i="2"/>
  <c r="B692" i="2" s="1"/>
  <c r="P691" i="2"/>
  <c r="B691" i="2" s="1"/>
  <c r="P690" i="2"/>
  <c r="B690" i="2" s="1"/>
  <c r="P689" i="2"/>
  <c r="B689" i="2" s="1"/>
  <c r="P688" i="2"/>
  <c r="B688" i="2" s="1"/>
  <c r="P687" i="2"/>
  <c r="B687" i="2" s="1"/>
  <c r="P686" i="2"/>
  <c r="B686" i="2" s="1"/>
  <c r="P685" i="2"/>
  <c r="B685" i="2" s="1"/>
  <c r="P684" i="2"/>
  <c r="B684" i="2" s="1"/>
  <c r="P683" i="2"/>
  <c r="B683" i="2" s="1"/>
  <c r="P682" i="2"/>
  <c r="B682" i="2" s="1"/>
  <c r="P681" i="2"/>
  <c r="B681" i="2" s="1"/>
  <c r="P680" i="2"/>
  <c r="B680" i="2" s="1"/>
  <c r="P679" i="2"/>
  <c r="B679" i="2" s="1"/>
  <c r="P678" i="2"/>
  <c r="B678" i="2" s="1"/>
  <c r="P677" i="2"/>
  <c r="B677" i="2" s="1"/>
  <c r="P676" i="2"/>
  <c r="B676" i="2" s="1"/>
  <c r="P675" i="2"/>
  <c r="B675" i="2" s="1"/>
  <c r="P674" i="2"/>
  <c r="B674" i="2" s="1"/>
  <c r="P673" i="2"/>
  <c r="B673" i="2" s="1"/>
  <c r="P672" i="2"/>
  <c r="B672" i="2" s="1"/>
  <c r="P671" i="2"/>
  <c r="B671" i="2" s="1"/>
  <c r="P670" i="2"/>
  <c r="B670" i="2" s="1"/>
  <c r="P669" i="2"/>
  <c r="B669" i="2" s="1"/>
  <c r="P668" i="2"/>
  <c r="B668" i="2" s="1"/>
  <c r="P667" i="2"/>
  <c r="B667" i="2" s="1"/>
  <c r="P666" i="2"/>
  <c r="B666" i="2" s="1"/>
  <c r="P665" i="2"/>
  <c r="B665" i="2" s="1"/>
  <c r="P664" i="2"/>
  <c r="B664" i="2" s="1"/>
  <c r="P663" i="2"/>
  <c r="B663" i="2" s="1"/>
  <c r="P662" i="2"/>
  <c r="B662" i="2" s="1"/>
  <c r="P661" i="2"/>
  <c r="B661" i="2" s="1"/>
  <c r="P660" i="2"/>
  <c r="B660" i="2" s="1"/>
  <c r="P659" i="2"/>
  <c r="B659" i="2" s="1"/>
  <c r="P658" i="2"/>
  <c r="B658" i="2" s="1"/>
  <c r="P657" i="2"/>
  <c r="B657" i="2" s="1"/>
  <c r="P656" i="2"/>
  <c r="B656" i="2" s="1"/>
  <c r="P655" i="2"/>
  <c r="B655" i="2" s="1"/>
  <c r="P654" i="2"/>
  <c r="B654" i="2" s="1"/>
  <c r="P653" i="2"/>
  <c r="B653" i="2" s="1"/>
  <c r="P652" i="2"/>
  <c r="B652" i="2" s="1"/>
  <c r="P651" i="2"/>
  <c r="B651" i="2" s="1"/>
  <c r="P650" i="2"/>
  <c r="B650" i="2" s="1"/>
  <c r="P649" i="2"/>
  <c r="B649" i="2" s="1"/>
  <c r="P648" i="2"/>
  <c r="B648" i="2" s="1"/>
  <c r="P647" i="2"/>
  <c r="B647" i="2" s="1"/>
  <c r="P646" i="2"/>
  <c r="B646" i="2" s="1"/>
  <c r="P645" i="2"/>
  <c r="B645" i="2" s="1"/>
  <c r="P644" i="2"/>
  <c r="B644" i="2" s="1"/>
  <c r="P643" i="2"/>
  <c r="B643" i="2" s="1"/>
  <c r="P642" i="2"/>
  <c r="B642" i="2" s="1"/>
  <c r="P641" i="2"/>
  <c r="B641" i="2" s="1"/>
  <c r="P640" i="2"/>
  <c r="B640" i="2" s="1"/>
  <c r="P639" i="2"/>
  <c r="B639" i="2" s="1"/>
  <c r="P638" i="2"/>
  <c r="B638" i="2" s="1"/>
  <c r="P637" i="2"/>
  <c r="B637" i="2" s="1"/>
  <c r="P636" i="2"/>
  <c r="B636" i="2" s="1"/>
  <c r="P635" i="2"/>
  <c r="B635" i="2" s="1"/>
  <c r="P634" i="2"/>
  <c r="B634" i="2" s="1"/>
  <c r="P633" i="2"/>
  <c r="B633" i="2" s="1"/>
  <c r="P632" i="2"/>
  <c r="B632" i="2" s="1"/>
  <c r="P631" i="2"/>
  <c r="B631" i="2" s="1"/>
  <c r="P630" i="2"/>
  <c r="B630" i="2" s="1"/>
  <c r="P629" i="2"/>
  <c r="B629" i="2" s="1"/>
  <c r="P628" i="2"/>
  <c r="B628" i="2" s="1"/>
  <c r="P627" i="2"/>
  <c r="B627" i="2" s="1"/>
  <c r="P626" i="2"/>
  <c r="B626" i="2" s="1"/>
  <c r="P625" i="2"/>
  <c r="B625" i="2" s="1"/>
  <c r="P624" i="2"/>
  <c r="B624" i="2" s="1"/>
  <c r="P623" i="2"/>
  <c r="B623" i="2" s="1"/>
  <c r="P622" i="2"/>
  <c r="B622" i="2" s="1"/>
  <c r="P621" i="2"/>
  <c r="B621" i="2" s="1"/>
  <c r="P620" i="2"/>
  <c r="B620" i="2" s="1"/>
  <c r="P619" i="2"/>
  <c r="B619" i="2" s="1"/>
  <c r="P618" i="2"/>
  <c r="B618" i="2" s="1"/>
  <c r="P617" i="2"/>
  <c r="B617" i="2" s="1"/>
  <c r="P616" i="2"/>
  <c r="B616" i="2" s="1"/>
  <c r="P615" i="2"/>
  <c r="B615" i="2" s="1"/>
  <c r="P614" i="2"/>
  <c r="B614" i="2" s="1"/>
  <c r="P613" i="2"/>
  <c r="B613" i="2" s="1"/>
  <c r="P612" i="2"/>
  <c r="B612" i="2" s="1"/>
  <c r="P611" i="2"/>
  <c r="B611" i="2" s="1"/>
  <c r="P610" i="2"/>
  <c r="B610" i="2" s="1"/>
  <c r="P609" i="2"/>
  <c r="B609" i="2" s="1"/>
  <c r="P608" i="2"/>
  <c r="B608" i="2" s="1"/>
  <c r="P607" i="2"/>
  <c r="B607" i="2" s="1"/>
  <c r="P606" i="2"/>
  <c r="B606" i="2" s="1"/>
  <c r="P605" i="2"/>
  <c r="B605" i="2" s="1"/>
  <c r="P604" i="2"/>
  <c r="B604" i="2" s="1"/>
  <c r="P603" i="2"/>
  <c r="B603" i="2" s="1"/>
  <c r="P602" i="2"/>
  <c r="B602" i="2" s="1"/>
  <c r="P601" i="2"/>
  <c r="B601" i="2" s="1"/>
  <c r="P600" i="2"/>
  <c r="B600" i="2" s="1"/>
  <c r="P599" i="2"/>
  <c r="B599" i="2" s="1"/>
  <c r="P598" i="2"/>
  <c r="B598" i="2" s="1"/>
  <c r="P597" i="2"/>
  <c r="B597" i="2" s="1"/>
  <c r="P596" i="2"/>
  <c r="B596" i="2" s="1"/>
  <c r="P595" i="2"/>
  <c r="B595" i="2" s="1"/>
  <c r="P594" i="2"/>
  <c r="B594" i="2" s="1"/>
  <c r="P593" i="2"/>
  <c r="B593" i="2" s="1"/>
  <c r="P592" i="2"/>
  <c r="B592" i="2" s="1"/>
  <c r="P591" i="2"/>
  <c r="B591" i="2" s="1"/>
  <c r="P590" i="2"/>
  <c r="B590" i="2" s="1"/>
  <c r="P589" i="2"/>
  <c r="B589" i="2" s="1"/>
  <c r="P588" i="2"/>
  <c r="B588" i="2" s="1"/>
  <c r="P587" i="2"/>
  <c r="B587" i="2" s="1"/>
  <c r="P586" i="2"/>
  <c r="B586" i="2" s="1"/>
  <c r="P585" i="2"/>
  <c r="B585" i="2" s="1"/>
  <c r="P584" i="2"/>
  <c r="B584" i="2" s="1"/>
  <c r="P583" i="2"/>
  <c r="B583" i="2" s="1"/>
  <c r="P582" i="2"/>
  <c r="B582" i="2" s="1"/>
  <c r="P581" i="2"/>
  <c r="B581" i="2" s="1"/>
  <c r="P580" i="2"/>
  <c r="B580" i="2" s="1"/>
  <c r="P579" i="2"/>
  <c r="B579" i="2" s="1"/>
  <c r="P578" i="2"/>
  <c r="B578" i="2" s="1"/>
  <c r="P577" i="2"/>
  <c r="B577" i="2" s="1"/>
  <c r="P576" i="2"/>
  <c r="B576" i="2" s="1"/>
  <c r="P575" i="2"/>
  <c r="B575" i="2" s="1"/>
  <c r="P574" i="2"/>
  <c r="B574" i="2" s="1"/>
  <c r="P573" i="2"/>
  <c r="B573" i="2" s="1"/>
  <c r="P572" i="2"/>
  <c r="B572" i="2" s="1"/>
  <c r="P571" i="2"/>
  <c r="B571" i="2" s="1"/>
  <c r="P570" i="2"/>
  <c r="B570" i="2" s="1"/>
  <c r="P569" i="2"/>
  <c r="B569" i="2" s="1"/>
  <c r="P568" i="2"/>
  <c r="B568" i="2" s="1"/>
  <c r="P567" i="2"/>
  <c r="B567" i="2" s="1"/>
  <c r="P566" i="2"/>
  <c r="B566" i="2" s="1"/>
  <c r="P565" i="2"/>
  <c r="B565" i="2" s="1"/>
  <c r="P564" i="2"/>
  <c r="B564" i="2" s="1"/>
  <c r="P563" i="2"/>
  <c r="B563" i="2" s="1"/>
  <c r="P562" i="2"/>
  <c r="B562" i="2" s="1"/>
  <c r="P561" i="2"/>
  <c r="B561" i="2" s="1"/>
  <c r="P560" i="2"/>
  <c r="B560" i="2" s="1"/>
  <c r="P559" i="2"/>
  <c r="B559" i="2" s="1"/>
  <c r="P558" i="2"/>
  <c r="B558" i="2" s="1"/>
  <c r="P557" i="2"/>
  <c r="B557" i="2" s="1"/>
  <c r="P556" i="2"/>
  <c r="B556" i="2" s="1"/>
  <c r="P555" i="2"/>
  <c r="B555" i="2" s="1"/>
  <c r="P554" i="2"/>
  <c r="B554" i="2" s="1"/>
  <c r="P553" i="2"/>
  <c r="B553" i="2" s="1"/>
  <c r="P552" i="2"/>
  <c r="B552" i="2" s="1"/>
  <c r="P551" i="2"/>
  <c r="B551" i="2" s="1"/>
  <c r="D397" i="2"/>
  <c r="D398" i="2"/>
  <c r="D399" i="2"/>
  <c r="D519" i="2"/>
  <c r="D401" i="2"/>
  <c r="D543" i="2"/>
  <c r="D448" i="2"/>
  <c r="D407" i="2"/>
  <c r="D409" i="2"/>
  <c r="D472" i="2"/>
  <c r="D411" i="2"/>
  <c r="D416" i="2"/>
  <c r="D420" i="2"/>
  <c r="D544" i="2"/>
  <c r="D422" i="2"/>
  <c r="D423" i="2"/>
  <c r="D424" i="2"/>
  <c r="D425" i="2"/>
  <c r="D426" i="2"/>
  <c r="D486" i="2"/>
  <c r="D430" i="2"/>
  <c r="D447" i="2"/>
  <c r="D458" i="2"/>
  <c r="D488" i="2"/>
  <c r="D540" i="2"/>
  <c r="D512" i="2"/>
  <c r="D514" i="2"/>
  <c r="D520" i="2"/>
  <c r="D542" i="2"/>
  <c r="D545" i="2"/>
  <c r="D395" i="2"/>
  <c r="E6" i="2"/>
  <c r="E8" i="2"/>
  <c r="E9" i="2"/>
  <c r="E10" i="2"/>
  <c r="E11" i="2"/>
  <c r="E12" i="2"/>
  <c r="E13" i="2"/>
  <c r="E14" i="2"/>
  <c r="E15" i="2"/>
  <c r="E18" i="2"/>
  <c r="E20" i="2"/>
  <c r="E22" i="2"/>
  <c r="E23" i="2"/>
  <c r="E25" i="2"/>
  <c r="E26" i="2"/>
  <c r="E31" i="2"/>
  <c r="E35" i="2"/>
  <c r="E37" i="2"/>
  <c r="E38" i="2"/>
  <c r="E40" i="2"/>
  <c r="E44" i="2"/>
  <c r="E51" i="2"/>
  <c r="E61" i="2"/>
  <c r="E68" i="2"/>
  <c r="E71" i="2"/>
  <c r="E77" i="2"/>
  <c r="E81" i="2"/>
  <c r="E82" i="2"/>
  <c r="E84" i="2"/>
  <c r="E86" i="2"/>
  <c r="E88" i="2"/>
  <c r="E91" i="2"/>
  <c r="E97" i="2"/>
  <c r="E98" i="2"/>
  <c r="E99" i="2"/>
  <c r="E100" i="2"/>
  <c r="E101" i="2"/>
  <c r="E102" i="2"/>
  <c r="E103" i="2"/>
  <c r="E105" i="2"/>
  <c r="E106" i="2"/>
  <c r="E109" i="2"/>
  <c r="E114" i="2"/>
  <c r="E115" i="2"/>
  <c r="E118" i="2"/>
  <c r="E122" i="2"/>
  <c r="E131" i="2"/>
  <c r="E133" i="2"/>
  <c r="E134" i="2"/>
  <c r="E140" i="2"/>
  <c r="E146" i="2"/>
  <c r="E149" i="2"/>
  <c r="E153" i="2"/>
  <c r="E154" i="2"/>
  <c r="E159" i="2"/>
  <c r="E166" i="2"/>
  <c r="E167" i="2"/>
  <c r="E170" i="2"/>
  <c r="E171" i="2"/>
  <c r="E174" i="2"/>
  <c r="E175" i="2"/>
  <c r="E177" i="2"/>
  <c r="E182" i="2"/>
  <c r="E185" i="2"/>
  <c r="E192" i="2"/>
  <c r="E195" i="2"/>
  <c r="E197" i="2"/>
  <c r="E198" i="2"/>
  <c r="E199" i="2"/>
  <c r="E201" i="2"/>
  <c r="E202" i="2"/>
  <c r="E209" i="2"/>
  <c r="E211" i="2"/>
  <c r="E213" i="2"/>
  <c r="E221" i="2"/>
  <c r="E222" i="2"/>
  <c r="E223" i="2"/>
  <c r="E228" i="2"/>
  <c r="E231" i="2"/>
  <c r="E233" i="2"/>
  <c r="E235" i="2"/>
  <c r="E240" i="2"/>
  <c r="E241" i="2"/>
  <c r="E245" i="2"/>
  <c r="E250" i="2"/>
  <c r="E251" i="2"/>
  <c r="E253" i="2"/>
  <c r="E257" i="2"/>
  <c r="E258" i="2"/>
  <c r="E259" i="2"/>
  <c r="E264" i="2"/>
  <c r="E265" i="2"/>
  <c r="E267" i="2"/>
  <c r="E268" i="2"/>
  <c r="E273" i="2"/>
  <c r="E278" i="2"/>
  <c r="E287" i="2"/>
  <c r="E291" i="2"/>
  <c r="E293" i="2"/>
  <c r="E294" i="2"/>
  <c r="E297" i="2"/>
  <c r="E298" i="2"/>
  <c r="E302" i="2"/>
  <c r="E306" i="2"/>
  <c r="E313" i="2"/>
  <c r="E314" i="2"/>
  <c r="E320" i="2"/>
  <c r="E321" i="2"/>
  <c r="E322" i="2"/>
  <c r="E325" i="2"/>
  <c r="E326" i="2"/>
  <c r="E327" i="2"/>
  <c r="E332" i="2"/>
  <c r="E333" i="2"/>
  <c r="E335" i="2"/>
  <c r="E336" i="2"/>
  <c r="E338" i="2"/>
  <c r="E339" i="2"/>
  <c r="E340" i="2"/>
  <c r="E343" i="2"/>
  <c r="E346" i="2"/>
  <c r="E349" i="2"/>
  <c r="E350" i="2"/>
  <c r="E354" i="2"/>
  <c r="E363" i="2"/>
  <c r="E366" i="2"/>
  <c r="E367" i="2"/>
  <c r="E372" i="2"/>
  <c r="E374" i="2"/>
  <c r="E380" i="2"/>
  <c r="E384" i="2"/>
  <c r="E385" i="2"/>
  <c r="E393" i="2"/>
  <c r="AI20" i="7"/>
  <c r="AI17" i="7"/>
  <c r="D526" i="2" l="1"/>
  <c r="D501" i="2"/>
  <c r="D523" i="2"/>
  <c r="D429" i="2"/>
  <c r="D539" i="2"/>
  <c r="D516" i="2"/>
  <c r="D477" i="2"/>
  <c r="D525" i="2"/>
  <c r="D524" i="2"/>
  <c r="D500" i="2"/>
  <c r="D421" i="2"/>
  <c r="D493" i="2"/>
  <c r="D461" i="2"/>
  <c r="D437" i="2"/>
  <c r="D492" i="2"/>
  <c r="D468" i="2"/>
  <c r="D460" i="2"/>
  <c r="D436" i="2"/>
  <c r="D404" i="2"/>
  <c r="D515" i="2"/>
  <c r="D483" i="2"/>
  <c r="D475" i="2"/>
  <c r="D467" i="2"/>
  <c r="D435" i="2"/>
  <c r="D403" i="2"/>
  <c r="D546" i="2"/>
  <c r="D538" i="2"/>
  <c r="D522" i="2"/>
  <c r="D498" i="2"/>
  <c r="D490" i="2"/>
  <c r="D474" i="2"/>
  <c r="D466" i="2"/>
  <c r="D442" i="2"/>
  <c r="D434" i="2"/>
  <c r="D410" i="2"/>
  <c r="D529" i="2"/>
  <c r="D513" i="2"/>
  <c r="D505" i="2"/>
  <c r="D497" i="2"/>
  <c r="D489" i="2"/>
  <c r="D465" i="2"/>
  <c r="D457" i="2"/>
  <c r="D441" i="2"/>
  <c r="D433" i="2"/>
  <c r="D536" i="2"/>
  <c r="D528" i="2"/>
  <c r="D408" i="2"/>
  <c r="D400" i="2"/>
  <c r="D487" i="2"/>
  <c r="D463" i="2"/>
  <c r="D439" i="2"/>
  <c r="D494" i="2"/>
  <c r="D46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882EF0-C9F4-41E9-B712-DF7EE9B8706F}" keepAlive="1" name="Query - Amazon 1P (2)" description="Connection to the 'Amazon 1P (2)' query in the workbook." type="5" refreshedVersion="8" background="1" saveData="1">
    <dbPr connection="Provider=Microsoft.Mashup.OleDb.1;Data Source=$Workbook$;Location=&quot;Amazon 1P (2)&quot;;Extended Properties=&quot;&quot;" command="SELECT * FROM [Amazon 1P (2)]"/>
  </connection>
  <connection id="2" xr16:uid="{CFE5361A-F98A-4D82-A7CE-69B63D1E141C}"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 xr16:uid="{C80AA090-9FEE-4C34-8311-3341C9C6326C}"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4" xr16:uid="{A9D56C45-0151-41E1-9BA4-1E21749B2853}"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5" xr16:uid="{E176BBDF-5468-4C79-848E-55194FDAB434}"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<sst xmlns="http://schemas.openxmlformats.org/spreadsheetml/2006/main" count="2733" uniqueCount="315">
  <si>
    <t>B0FJ2JHL43</t>
  </si>
  <si>
    <t>B0CQJWV4PD</t>
  </si>
  <si>
    <t>B0FJ2J1JL6</t>
  </si>
  <si>
    <t>B0FJ2BZWXK</t>
  </si>
  <si>
    <t>B0FJ2JBL4J</t>
  </si>
  <si>
    <t>B0DRDC3KQ4</t>
  </si>
  <si>
    <t>B0DR9HSWP3</t>
  </si>
  <si>
    <t>B0DRDD3D14</t>
  </si>
  <si>
    <t>B0FJ2GXG5K</t>
  </si>
  <si>
    <t>B0DQ5TMTZV</t>
  </si>
  <si>
    <t>B0DSWKKM92</t>
  </si>
  <si>
    <t>B0FGJY58J9</t>
  </si>
  <si>
    <t>B0CQJWCP1Q</t>
  </si>
  <si>
    <t>B0DR9JFTPF</t>
  </si>
  <si>
    <t>B0DR9JSKGQ</t>
  </si>
  <si>
    <t>B0DR9LL896</t>
  </si>
  <si>
    <t>B0DR9MVW7T</t>
  </si>
  <si>
    <t>B0DR9N7Q8F</t>
  </si>
  <si>
    <t>B0DR9P2H1V</t>
  </si>
  <si>
    <t>B0DRDGQJ88</t>
  </si>
  <si>
    <t>B0FGJWZ2FQ</t>
  </si>
  <si>
    <t>B0FGJWZQGH</t>
  </si>
  <si>
    <t>B0DR9KS9JM</t>
  </si>
  <si>
    <t>B0DR9MKR78</t>
  </si>
  <si>
    <t>ASIN</t>
  </si>
  <si>
    <t>Brand</t>
  </si>
  <si>
    <t>B0DLVGWRVJ</t>
  </si>
  <si>
    <t>BOXJOY</t>
  </si>
  <si>
    <t>B0DL5SN9XJ</t>
  </si>
  <si>
    <t>B0DLVF925Q</t>
  </si>
  <si>
    <t>B09RWGYLGB</t>
  </si>
  <si>
    <t>Ingco</t>
  </si>
  <si>
    <t>TRENDIKRAFT</t>
  </si>
  <si>
    <t>B0DL5Q78BV</t>
  </si>
  <si>
    <t>PROWL</t>
  </si>
  <si>
    <t>B0FJ2K6919</t>
  </si>
  <si>
    <t>B0DR9LHJ95</t>
  </si>
  <si>
    <t>B0DL5S1HNX</t>
  </si>
  <si>
    <t>B0CGJYXQQX</t>
  </si>
  <si>
    <t>B0DR9MKPYZ</t>
  </si>
  <si>
    <t>B0DL5TT3B1</t>
  </si>
  <si>
    <t>B0DR9K9F2S</t>
  </si>
  <si>
    <t>B0DR9BGVDJ</t>
  </si>
  <si>
    <t>B0DL5RWSYM</t>
  </si>
  <si>
    <t>B0DQ5PK895</t>
  </si>
  <si>
    <t>B0DQ5KFMBQ</t>
  </si>
  <si>
    <t>B0CG9WX5YY</t>
  </si>
  <si>
    <t>B0DR9LGNRD</t>
  </si>
  <si>
    <t>B0DR9L29BG</t>
  </si>
  <si>
    <t>B0FGPRKH6B</t>
  </si>
  <si>
    <t>B0DSWKD33H</t>
  </si>
  <si>
    <t>B0DR9MG4MS</t>
  </si>
  <si>
    <t>B0CQKM5PY8</t>
  </si>
  <si>
    <t>B07228JBDL</t>
  </si>
  <si>
    <t>B0CG9XZS42</t>
  </si>
  <si>
    <t>B0DR9KFG48</t>
  </si>
  <si>
    <t>B0DR9KDFXJ</t>
  </si>
  <si>
    <t>B0CGJKKT68</t>
  </si>
  <si>
    <t>B0CGTRKLD9</t>
  </si>
  <si>
    <t>B0CGTBL1QC</t>
  </si>
  <si>
    <t>B0D6GS7ZDV</t>
  </si>
  <si>
    <t>B07WHL36FJ</t>
  </si>
  <si>
    <t>B0D6GSWFX3</t>
  </si>
  <si>
    <t>B0D6YXXQFN</t>
  </si>
  <si>
    <t>B0CGJS4YPF</t>
  </si>
  <si>
    <t>B0D6NF4V43</t>
  </si>
  <si>
    <t>B0CQKM2N7Y</t>
  </si>
  <si>
    <t>B0DSWHYY5Z</t>
  </si>
  <si>
    <t>B0CG9ZC1WK</t>
  </si>
  <si>
    <t>B0DRCZSP6Q</t>
  </si>
  <si>
    <t>B0DQ5T31BF</t>
  </si>
  <si>
    <t>B0CGJHWRJL</t>
  </si>
  <si>
    <t>B0DLVG2BFS</t>
  </si>
  <si>
    <t>B0DL5S9NJK</t>
  </si>
  <si>
    <t>B0D78YQMSX</t>
  </si>
  <si>
    <t>B0FKTM1FQH</t>
  </si>
  <si>
    <t>B0DR9MW2KT</t>
  </si>
  <si>
    <t>B0CGJJJ9RJ</t>
  </si>
  <si>
    <t>B0CG9T2RQJ</t>
  </si>
  <si>
    <t>B0D78ZQ3HR</t>
  </si>
  <si>
    <t>B0CGJJQRS1</t>
  </si>
  <si>
    <t>B0CGT4V35W</t>
  </si>
  <si>
    <t>B0FKTV5VTN</t>
  </si>
  <si>
    <t>B0DR9LZH6P</t>
  </si>
  <si>
    <t>B0CG9TF4MK</t>
  </si>
  <si>
    <t>B0CGJH5C7Q</t>
  </si>
  <si>
    <t>B0CQJWKMY8</t>
  </si>
  <si>
    <t>B0DSWJWG3V</t>
  </si>
  <si>
    <t>B0DR9NWCKG</t>
  </si>
  <si>
    <t>B0D78Y95TG</t>
  </si>
  <si>
    <t>B0DQ5SR3TV</t>
  </si>
  <si>
    <t>B0FKTLGWL1</t>
  </si>
  <si>
    <t>B0FKTKGZZR</t>
  </si>
  <si>
    <t>B0CQCSDMF3</t>
  </si>
  <si>
    <t>B0CQKHR4QM</t>
  </si>
  <si>
    <t>B0DQ5MCP6Y</t>
  </si>
  <si>
    <t>B0DQ5Q7MR5</t>
  </si>
  <si>
    <t>B0DQ5RD863</t>
  </si>
  <si>
    <t>B0CGJQXTY5</t>
  </si>
  <si>
    <t>B0FKTLR4VF</t>
  </si>
  <si>
    <t>B0FGQC5YK3</t>
  </si>
  <si>
    <t>B0FKV4NSS2</t>
  </si>
  <si>
    <t>B0CZ6SHWZV</t>
  </si>
  <si>
    <t>EB-Everything Beautiful</t>
  </si>
  <si>
    <t>B0FKVRYRBG</t>
  </si>
  <si>
    <t>B0CG9VWGBT</t>
  </si>
  <si>
    <t>B0FKV8QS9W</t>
  </si>
  <si>
    <t>B0FGQCX8NL</t>
  </si>
  <si>
    <t>B0DR9LNWY7</t>
  </si>
  <si>
    <t>Product Category</t>
  </si>
  <si>
    <t>SKU ID</t>
  </si>
  <si>
    <t xml:space="preserve">Units </t>
  </si>
  <si>
    <t>Source</t>
  </si>
  <si>
    <t>Amazon 1P</t>
  </si>
  <si>
    <t>PRBCBW001-250-P1-FBA</t>
  </si>
  <si>
    <t>Amazon 3P</t>
  </si>
  <si>
    <t>B0DNFQL11S</t>
  </si>
  <si>
    <t>TK-SW-4INCH-P1-FBA</t>
  </si>
  <si>
    <t>TK-RESIN-21-150-TWINCOASTER-FBA</t>
  </si>
  <si>
    <t>PRFCFW001-100-P1-FBA</t>
  </si>
  <si>
    <t>PRFCSS001-50-P1-FBA</t>
  </si>
  <si>
    <t>PRBCUR001-40-P1-FBA</t>
  </si>
  <si>
    <t>BJWZ0028-VBTRLP3-FBA</t>
  </si>
  <si>
    <t>B0D6W6HPLS</t>
  </si>
  <si>
    <t>EB-Steel Bottle-Modern Art-1L-P1 V1 FBA</t>
  </si>
  <si>
    <t>BJWZ0010-OXGYSTL-P4-FBA</t>
  </si>
  <si>
    <t>BJWZ0029-VBTRJP3-FBA</t>
  </si>
  <si>
    <t>B0FCMMVN95</t>
  </si>
  <si>
    <t>EB-SS-SG-750ml-P1-FBA</t>
  </si>
  <si>
    <t>B0FCML8S9H</t>
  </si>
  <si>
    <t>EB-SS-MA-750ml-P1-FBA</t>
  </si>
  <si>
    <t>PRFCFC001-50-P1-FBA</t>
  </si>
  <si>
    <t>PRBCBW001-250-P1</t>
  </si>
  <si>
    <t>BJFZ0010-PPBT12S-CLOTHRACK</t>
  </si>
  <si>
    <t>BJDZ0002-PETR016-FBA</t>
  </si>
  <si>
    <t>BJWZ0033-VBTRJP6-FBA</t>
  </si>
  <si>
    <t>B0FKTP5GJQ</t>
  </si>
  <si>
    <t>BJPZ0001-MMBKLP-FBA</t>
  </si>
  <si>
    <t>B0CQ4SQ3VG</t>
  </si>
  <si>
    <t>EB-Seamless-Marble Design V1</t>
  </si>
  <si>
    <t>B0CQ581TW3</t>
  </si>
  <si>
    <t>EB-Steel Bottle-Smooth Grey-1L-P2 V1 FBA</t>
  </si>
  <si>
    <t>B0CQ5B17JG</t>
  </si>
  <si>
    <t>EB-Steel Bottle-Smooth Grey-750ml-P1 V1</t>
  </si>
  <si>
    <t>TK-RESIN-21-150-ULTIMATE</t>
  </si>
  <si>
    <t>B0D6CFD2SN</t>
  </si>
  <si>
    <t>EB-Steel Bottle-Smooth Black-1L-P1 V1</t>
  </si>
  <si>
    <t>EB-Steel Bottle-Smooth Black-1L-P1 V1FBA</t>
  </si>
  <si>
    <t>EB-Steel Bottle-Modern Art-1L-P1 V1</t>
  </si>
  <si>
    <t>BJWZ0022-PCLG110-FBA</t>
  </si>
  <si>
    <t>BJWZ0017-POLG24L-FBA</t>
  </si>
  <si>
    <t>BJWZ0010-OXGYSTL-P2-FBA</t>
  </si>
  <si>
    <t>BJWZ0019-POLG110-FBA</t>
  </si>
  <si>
    <t>BJWZ0012-PCLGSTL-P2</t>
  </si>
  <si>
    <t>BJWZ0010-OXGYSTL-P6-FBA</t>
  </si>
  <si>
    <t>BJWZ0027-VBTRMP3-FBA</t>
  </si>
  <si>
    <t>B0F4DHRLN8</t>
  </si>
  <si>
    <t>BOXJOY-2WT-1D</t>
  </si>
  <si>
    <t>B0FCMMFSCW</t>
  </si>
  <si>
    <t>EB-SS-BM-750ml-P1-FBA</t>
  </si>
  <si>
    <t>BJWZ0035-VBTRC20-FBA</t>
  </si>
  <si>
    <t>BJWZ0034-VBTRC12-FBA</t>
  </si>
  <si>
    <t>B0FMD9C9PB</t>
  </si>
  <si>
    <t>BJMZ0007-MMBKV04S-CR</t>
  </si>
  <si>
    <t>B0FMDM6QMV</t>
  </si>
  <si>
    <t>BJMZ0008-MMWHV04S-CR</t>
  </si>
  <si>
    <t>BJWZ0014-PVTR24L-FBA</t>
  </si>
  <si>
    <t>B0BNNNZNZ1</t>
  </si>
  <si>
    <t>EB-Tower-Marble Design-FBA</t>
  </si>
  <si>
    <t>B0CQ7QHFPD</t>
  </si>
  <si>
    <t>EB-Tower-Smooth Grey V1-FBA</t>
  </si>
  <si>
    <t>B0CQ7V4FZZ</t>
  </si>
  <si>
    <t>EB-Seamless-Smooth Grey V1 FBA</t>
  </si>
  <si>
    <t>B0CQ7VQKWD</t>
  </si>
  <si>
    <t>EB-Seamless-Funky Flower V1 FBA</t>
  </si>
  <si>
    <t>B0D6CTLM5Z</t>
  </si>
  <si>
    <t>EB-SteelBottle-SmoothBlack-750ml-P1V1FBA</t>
  </si>
  <si>
    <t>BJWZ0008-PVTRSTL-P4</t>
  </si>
  <si>
    <t>B0F4DDT3QN</t>
  </si>
  <si>
    <t>BOXJOY-2BT-1D</t>
  </si>
  <si>
    <t>PRFCSS001-50-P1</t>
  </si>
  <si>
    <t>B0CQ5B3Y44</t>
  </si>
  <si>
    <t>EB-Steel-Funky Flower-750ml-P1 V1-FBA</t>
  </si>
  <si>
    <t>PRFCLB001-04-P1</t>
  </si>
  <si>
    <t>B0FGK1B341</t>
  </si>
  <si>
    <t>BJWZ0032-VBTRLP6-FBA</t>
  </si>
  <si>
    <t>TK-RESINKIT-31-1200-FBA</t>
  </si>
  <si>
    <t>BJWZ0008-PVTRSTL-P2</t>
  </si>
  <si>
    <t>BJWZ0004-POLG13G-FBA</t>
  </si>
  <si>
    <t>B0F71RY7C4</t>
  </si>
  <si>
    <t>BOXJOY-2BT-1D-CLOTHRACK</t>
  </si>
  <si>
    <t>PRBCUR001-40-P1</t>
  </si>
  <si>
    <t>BJMZ0010-MMWHH05S</t>
  </si>
  <si>
    <t>B0CQ87NCWG</t>
  </si>
  <si>
    <t>EB-Seamless-Classic V1 FBA</t>
  </si>
  <si>
    <t>TK-RESIN-21-150-ULTIMATE-FBA</t>
  </si>
  <si>
    <t>BJWZ0026-VBTRMLJ-FBA</t>
  </si>
  <si>
    <t>BJWZ0003-POLG17G-FBA</t>
  </si>
  <si>
    <t>Face Wash and Cleanser</t>
  </si>
  <si>
    <t>PROWL by Tiger Shroff</t>
  </si>
  <si>
    <t>PTISFCWH115557861</t>
  </si>
  <si>
    <t>Myntra</t>
  </si>
  <si>
    <t>Body Wash and Shower Gel</t>
  </si>
  <si>
    <t>PTISBWSG115557266</t>
  </si>
  <si>
    <t>Shoe Rack</t>
  </si>
  <si>
    <t>BXOYSHRC111339958</t>
  </si>
  <si>
    <t>Day Cream</t>
  </si>
  <si>
    <t>PTISDYCR115557863</t>
  </si>
  <si>
    <t>BXOYSHRC111339960</t>
  </si>
  <si>
    <t>Roll-Ons</t>
  </si>
  <si>
    <t>PTISRLON115557864</t>
  </si>
  <si>
    <t>Lip Balm</t>
  </si>
  <si>
    <t>PTISLPBL115557860</t>
  </si>
  <si>
    <t>BXOYSHRC111339964</t>
  </si>
  <si>
    <t>Face Sunscreen</t>
  </si>
  <si>
    <t>PTISFCSS115557862</t>
  </si>
  <si>
    <t>BXOYSHRC111339966</t>
  </si>
  <si>
    <t>BXOYSHRC111339962</t>
  </si>
  <si>
    <t>Organisers</t>
  </si>
  <si>
    <t>BXOYRGNR111373162</t>
  </si>
  <si>
    <t>BXOYSHRC111339971</t>
  </si>
  <si>
    <t>BXOYSHRC111339955</t>
  </si>
  <si>
    <t>Date</t>
  </si>
  <si>
    <t>Steel Bottle</t>
  </si>
  <si>
    <t>Copper Bottle</t>
  </si>
  <si>
    <t>Row Labels</t>
  </si>
  <si>
    <t>Grand Total</t>
  </si>
  <si>
    <t>Footwear Organizer</t>
  </si>
  <si>
    <t>BJFZ0016</t>
  </si>
  <si>
    <t>BJFZ0013</t>
  </si>
  <si>
    <t>BJFZ0015</t>
  </si>
  <si>
    <t>Resin</t>
  </si>
  <si>
    <t>BJFZ0010</t>
  </si>
  <si>
    <t>Wardrobe Organizer</t>
  </si>
  <si>
    <t>Face Care</t>
  </si>
  <si>
    <t>Body Care</t>
  </si>
  <si>
    <t>BJWZ0015-PVTR66L</t>
  </si>
  <si>
    <t>BJFZ0011</t>
  </si>
  <si>
    <t>Drawer Organizer</t>
  </si>
  <si>
    <t>Tape</t>
  </si>
  <si>
    <t>TK-TAPE-TISSUE-50M-1INCH</t>
  </si>
  <si>
    <t>BJFZ0008</t>
  </si>
  <si>
    <t>BJWZ0018-POLG66L</t>
  </si>
  <si>
    <t>BJFZ0012</t>
  </si>
  <si>
    <t>BJFZ0013-PPBT8S-CLOTHRACK</t>
  </si>
  <si>
    <t>BJFZ0016-PPBT5S-CLOTHRACK</t>
  </si>
  <si>
    <t>TK-RESINKIT-21-1500</t>
  </si>
  <si>
    <t>BJWZ0012-PCLGSTL-P4</t>
  </si>
  <si>
    <t>BJWZ0016-PVTR110</t>
  </si>
  <si>
    <t>Travel Organizer</t>
  </si>
  <si>
    <t>BJTZ0001-POWH07P</t>
  </si>
  <si>
    <t>BJDZ0003-PETR025</t>
  </si>
  <si>
    <t>TK-TAPE-MASKING-20M-24MM-PACK1</t>
  </si>
  <si>
    <t>TK-RESINKIT-31-400</t>
  </si>
  <si>
    <t>BJWZ0010-OXGYSTL-P1</t>
  </si>
  <si>
    <t>TK-TAPE-ALUMINIUM-5M-2INCH</t>
  </si>
  <si>
    <t>TK-TAPE-BOPP-BROWN-65M-2INCH-P2</t>
  </si>
  <si>
    <t>TK-TAPE-BOPP-TRANS-65M-2INCH-P2</t>
  </si>
  <si>
    <t>TK-TAPE-ANTISKID-5M-50MM-TRANS-FBA</t>
  </si>
  <si>
    <t>TK-TAPE-ANTISKID-5M-50MM-YL-BLACK-FBA</t>
  </si>
  <si>
    <t>TK-TAPE-ALUMINIUM-3M-2INCH</t>
  </si>
  <si>
    <t>TK-TAPE-KRAFTPAPER-50M-2INCH</t>
  </si>
  <si>
    <t>TK-TAPE-ELECTRICAL-6M-17MM-PACK6</t>
  </si>
  <si>
    <t>TK-TAPE-MASKING-20M-12MM-PACK1</t>
  </si>
  <si>
    <t>BJDZ0004-PETRE8G</t>
  </si>
  <si>
    <t>TK-RESINKIT-21-300-FBA</t>
  </si>
  <si>
    <t>BJWZ0008-PVTRSTL-P6</t>
  </si>
  <si>
    <t>BJFZ0015-PPWT5S-CLOTHRACK</t>
  </si>
  <si>
    <t>TK-TAPE-FLOORMARKING-ZEBRA-15M-2INCH</t>
  </si>
  <si>
    <t>BJFZ0014</t>
  </si>
  <si>
    <t>BJFZ0009</t>
  </si>
  <si>
    <t>TK-TAPE-VASTU-WHITE-4INCH-15MTR</t>
  </si>
  <si>
    <t>Multipurpose Organizer</t>
  </si>
  <si>
    <t>BJMZ0006-PPBT02S</t>
  </si>
  <si>
    <t>BJWZ0008-PVTRSTL-P1</t>
  </si>
  <si>
    <t>TK-TAPE-DUCT-25M-48MM</t>
  </si>
  <si>
    <t>TK-RESINKIT-21-150</t>
  </si>
  <si>
    <t>TK-TAPE-VASTU-GREEN-4INCH-15MTR</t>
  </si>
  <si>
    <t>TK-TAPE-ANTISKID-5M-50MM-BLACK-FBA</t>
  </si>
  <si>
    <t>TK-TAPE-BOPP-TRANS-65M-3INCH-P1</t>
  </si>
  <si>
    <t>Stretch Film</t>
  </si>
  <si>
    <t>Pet Organizer</t>
  </si>
  <si>
    <t>Revenue</t>
  </si>
  <si>
    <t>Sum of Revenue</t>
  </si>
  <si>
    <t>#N/A</t>
  </si>
  <si>
    <t xml:space="preserve">Sum of Units </t>
  </si>
  <si>
    <t>(All)</t>
  </si>
  <si>
    <t>units</t>
  </si>
  <si>
    <t xml:space="preserve"> </t>
  </si>
  <si>
    <t>revenue</t>
  </si>
  <si>
    <t xml:space="preserve">ASIN     </t>
  </si>
  <si>
    <t>BJDZ0001-PETR007</t>
  </si>
  <si>
    <t>BJFZ0008-PPWW12S-CLOTHRACK</t>
  </si>
  <si>
    <t>BJFZ0009-PPWT12S-CLOTHRACK</t>
  </si>
  <si>
    <t>BJFZ0011-PPWW8S-CLOTHRACK</t>
  </si>
  <si>
    <t>BJFZ0014-PPWW5S-CLOTHRACK</t>
  </si>
  <si>
    <t>BJMZ00011-PPWT08S</t>
  </si>
  <si>
    <t>BJMZ0001-PFBKD06S</t>
  </si>
  <si>
    <t>BJMZ0002-MMBKF06S-BC</t>
  </si>
  <si>
    <t>BJMZ0003-MMWHF06S-BC</t>
  </si>
  <si>
    <t>BJMZ0003-MMWHF06S-PS</t>
  </si>
  <si>
    <t>BJMZ0009-MMBKH05S</t>
  </si>
  <si>
    <t>BJWZ0012-PCLGSTL-P1</t>
  </si>
  <si>
    <t>BJWZ0012-PCLGSTL-P6</t>
  </si>
  <si>
    <t>BJWZ0021-PCLG66L</t>
  </si>
  <si>
    <t>BJWZ0030-POBG6B</t>
  </si>
  <si>
    <t>BJWZ0031-POBG8B</t>
  </si>
  <si>
    <t>EB-FUNKY-1L V1</t>
  </si>
  <si>
    <t>TK-RESIN-21-150-ALPHABETCHARM-FBA</t>
  </si>
  <si>
    <t>TK-RESIN-21-150-JEWELKEYCHAIN-FBA</t>
  </si>
  <si>
    <t>TK-RESINKIT-21-750</t>
  </si>
  <si>
    <t>TK-TAPE-ACRYLIC-5M-12MM-2MM</t>
  </si>
  <si>
    <t>TK-TAPE-ANTISKID-5M-50MM-GLOW-FBA</t>
  </si>
  <si>
    <t>TK-TAPE-TISSUE-50M-1INCH-PACK2</t>
  </si>
  <si>
    <t>TK-TAPE-VASTU-BLUE-4INCH-15MTR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</si>
</sst>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Calibri"/>
      <family val="2"/>
      <scheme val="minor"/>
    </font>
    <font>
      <sz val="10"/>
      <color rgb="FF000000"/>
      <name val="Calibri"/>
      <family val="2"/>
      <scheme val="minor"/>
    </font>
    <font>
      <sz val="10"/>
      <color theme="1"/>
      <name val="Calibri"/>
      <family val="2"/>
      <scheme val="minor"/>
    </font>
    <font>
      <sz val="10"/>
      <color theme="1"/>
      <name val="Calibri"/>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2">
    <xf numFmtId="0" fontId="0" fillId="0" borderId="0"/>
    <xf numFmtId="0" fontId="1" fillId="0" borderId="0"/>
  </cellStyleXfs>
  <cellXfs count="12">
    <xf numFmtId="0" fontId="0" fillId="0" borderId="0" xfId="0"/>
    <xf numFmtId="14" fontId="0" fillId="0" borderId="0" xfId="0" applyNumberFormat="1"/>
    <xf numFmtId="49" fontId="0" fillId="0" borderId="0" xfId="0" applyNumberFormat="1"/>
    <xf numFmtId="49" fontId="3" fillId="0" borderId="0" xfId="0" applyNumberFormat="1" applyFont="1"/>
    <xf numFmtId="0" fontId="3" fillId="0" borderId="0" xfId="0" applyFont="1"/>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164" fontId="3" fillId="0" borderId="0" xfId="0" applyNumberFormat="1" applyFont="1"/>
    <xf numFmtId="0" fontId="0" fillId="2" borderId="0" xfId="0" applyFill="1"/>
    <xf numFmtId="0" fontId="0" fillId="0" borderId="0" xfId="0" applyNumberFormat="1"/>
  </cellXfs>
  <cellStyles count="2">
    <cellStyle name="Normal" xfId="0" builtinId="0"/>
    <cellStyle name="Normal 2" xfId="1" xr:uid="{632A4FC7-A23B-45F9-B5BF-88B6EB42DEC3}"/>
  </cellStyles>
  <dxfs count="10">
    <dxf>
      <font>
        <b/>
        <color theme="1"/>
      </font>
      <fill>
        <patternFill patternType="solid">
          <fgColor rgb="FFAFDEEF"/>
          <bgColor auto="1"/>
        </patternFill>
      </fill>
      <border diagonalUp="0" diagonalDown="0">
        <left style="thin">
          <color rgb="FF4F81BD"/>
        </left>
        <right style="thin">
          <color rgb="FF4F81BD"/>
        </right>
        <top style="thin">
          <color rgb="FF4F81BD"/>
        </top>
        <bottom style="thin">
          <color rgb="FF4F81BD"/>
        </bottom>
        <vertical/>
        <horizontal/>
      </border>
    </dxf>
    <dxf>
      <font>
        <color theme="1"/>
      </font>
      <fill>
        <patternFill>
          <fgColor rgb="FFAFDEEF"/>
        </patternFill>
      </fill>
      <border>
        <left style="thin">
          <color rgb="FF4F81BD"/>
        </left>
        <right style="thin">
          <color rgb="FF4F81BD"/>
        </right>
        <top style="thin">
          <color rgb="FF4F81BD"/>
        </top>
        <bottom style="thin">
          <color rgb="FF4F81BD"/>
        </bottom>
        <vertical/>
        <horizontal/>
      </border>
    </dxf>
    <dxf>
      <numFmt numFmtId="30" formatCode="@"/>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StyleOther2 2" pivot="0" table="0" count="10" xr9:uid="{2DE36343-571A-47FD-8EEA-A5228BEA8642}">
      <tableStyleElement type="wholeTable" dxfId="1"/>
      <tableStyleElement type="headerRow" dxfId="0"/>
    </tableStyle>
  </tableStyles>
  <colors>
    <mruColors>
      <color rgb="FFAFDEEF"/>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73396296821032"/>
          <c:y val="0.17417134172999926"/>
          <c:w val="0.64158129413713216"/>
          <c:h val="0.73898722892503388"/>
        </c:manualLayout>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Pivot!$G$4:$G$26</c:f>
              <c:strCache>
                <c:ptCount val="22"/>
                <c:pt idx="0">
                  <c:v>Body Care</c:v>
                </c:pt>
                <c:pt idx="1">
                  <c:v>Body Wash and Shower Gel</c:v>
                </c:pt>
                <c:pt idx="2">
                  <c:v>Copper Bottle</c:v>
                </c:pt>
                <c:pt idx="3">
                  <c:v>Day Cream</c:v>
                </c:pt>
                <c:pt idx="4">
                  <c:v>Drawer Organizer</c:v>
                </c:pt>
                <c:pt idx="5">
                  <c:v>Face Care</c:v>
                </c:pt>
                <c:pt idx="6">
                  <c:v>Face Sunscreen</c:v>
                </c:pt>
                <c:pt idx="7">
                  <c:v>Face Wash and Cleanser</c:v>
                </c:pt>
                <c:pt idx="8">
                  <c:v>Footwear Organizer</c:v>
                </c:pt>
                <c:pt idx="9">
                  <c:v>Lip Balm</c:v>
                </c:pt>
                <c:pt idx="10">
                  <c:v>Multipurpose Organizer</c:v>
                </c:pt>
                <c:pt idx="11">
                  <c:v>Organisers</c:v>
                </c:pt>
                <c:pt idx="12">
                  <c:v>Pet Organizer</c:v>
                </c:pt>
                <c:pt idx="13">
                  <c:v>Resin</c:v>
                </c:pt>
                <c:pt idx="14">
                  <c:v>Roll-Ons</c:v>
                </c:pt>
                <c:pt idx="15">
                  <c:v>Shoe Rack</c:v>
                </c:pt>
                <c:pt idx="16">
                  <c:v>Steel Bottle</c:v>
                </c:pt>
                <c:pt idx="17">
                  <c:v>Stretch Film</c:v>
                </c:pt>
                <c:pt idx="18">
                  <c:v>Tape</c:v>
                </c:pt>
                <c:pt idx="19">
                  <c:v>Travel Organizer</c:v>
                </c:pt>
                <c:pt idx="20">
                  <c:v>Wardrobe Organizer</c:v>
                </c:pt>
                <c:pt idx="21">
                  <c:v>#N/A</c:v>
                </c:pt>
              </c:strCache>
            </c:strRef>
          </c:cat>
          <c:val>
            <c:numRef>
              <c:f>Pivot!$H$4:$H$26</c:f>
              <c:numCache>
                <c:formatCode>"₹"\ #,##0.00</c:formatCode>
                <c:ptCount val="22"/>
                <c:pt idx="0">
                  <c:v>49018.7</c:v>
                </c:pt>
                <c:pt idx="1">
                  <c:v>5274.1800000000021</c:v>
                </c:pt>
                <c:pt idx="2">
                  <c:v>18232</c:v>
                </c:pt>
                <c:pt idx="3">
                  <c:v>3276.1400000000012</c:v>
                </c:pt>
                <c:pt idx="4">
                  <c:v>27956.47</c:v>
                </c:pt>
                <c:pt idx="5">
                  <c:v>77440</c:v>
                </c:pt>
                <c:pt idx="6">
                  <c:v>3510.1500000000015</c:v>
                </c:pt>
                <c:pt idx="7">
                  <c:v>3978.1700000000019</c:v>
                </c:pt>
                <c:pt idx="8">
                  <c:v>895102.98999999987</c:v>
                </c:pt>
                <c:pt idx="9">
                  <c:v>2954</c:v>
                </c:pt>
                <c:pt idx="10">
                  <c:v>40917.449999999997</c:v>
                </c:pt>
                <c:pt idx="11">
                  <c:v>2398</c:v>
                </c:pt>
                <c:pt idx="12">
                  <c:v>26681</c:v>
                </c:pt>
                <c:pt idx="13">
                  <c:v>117090.94</c:v>
                </c:pt>
                <c:pt idx="14">
                  <c:v>3744.1600000000017</c:v>
                </c:pt>
                <c:pt idx="15">
                  <c:v>111006.02</c:v>
                </c:pt>
                <c:pt idx="16">
                  <c:v>41165</c:v>
                </c:pt>
                <c:pt idx="17">
                  <c:v>44146.5</c:v>
                </c:pt>
                <c:pt idx="18">
                  <c:v>24171.05999999999</c:v>
                </c:pt>
                <c:pt idx="19">
                  <c:v>1016.1</c:v>
                </c:pt>
                <c:pt idx="20">
                  <c:v>215713.30000000002</c:v>
                </c:pt>
                <c:pt idx="21">
                  <c:v>67750.83</c:v>
                </c:pt>
              </c:numCache>
            </c:numRef>
          </c:val>
          <c:extLst>
            <c:ext xmlns:c16="http://schemas.microsoft.com/office/drawing/2014/chart" uri="{C3380CC4-5D6E-409C-BE32-E72D297353CC}">
              <c16:uniqueId val="{00000000-80F7-48A7-8055-5C4A7435361F}"/>
            </c:ext>
          </c:extLst>
        </c:ser>
        <c:dLbls>
          <c:dLblPos val="outEnd"/>
          <c:showLegendKey val="0"/>
          <c:showVal val="1"/>
          <c:showCatName val="0"/>
          <c:showSerName val="0"/>
          <c:showPercent val="0"/>
          <c:showBubbleSize val="0"/>
        </c:dLbls>
        <c:gapWidth val="182"/>
        <c:axId val="919332543"/>
        <c:axId val="922594335"/>
      </c:barChart>
      <c:catAx>
        <c:axId val="91933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94335"/>
        <c:crosses val="autoZero"/>
        <c:auto val="1"/>
        <c:lblAlgn val="ctr"/>
        <c:lblOffset val="100"/>
        <c:noMultiLvlLbl val="0"/>
      </c:catAx>
      <c:valAx>
        <c:axId val="922594335"/>
        <c:scaling>
          <c:orientation val="minMax"/>
        </c:scaling>
        <c:delete val="1"/>
        <c:axPos val="b"/>
        <c:numFmt formatCode="&quot;₹&quot;\ #,##0.00" sourceLinked="1"/>
        <c:majorTickMark val="none"/>
        <c:minorTickMark val="none"/>
        <c:tickLblPos val="nextTo"/>
        <c:crossAx val="9193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2706386870024189"/>
          <c:y val="0.18897959733001296"/>
          <c:w val="0.45245346841373479"/>
          <c:h val="0.7522372488533563"/>
        </c:manualLayout>
      </c:layout>
      <c:pieChart>
        <c:varyColors val="1"/>
        <c:ser>
          <c:idx val="0"/>
          <c:order val="0"/>
          <c:tx>
            <c:strRef>
              <c:f>Pivot!$L$3</c:f>
              <c:strCache>
                <c:ptCount val="1"/>
                <c:pt idx="0">
                  <c:v>Sum of Units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2-4818-AC5B-881A1692E0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2-4818-AC5B-881A1692E0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2-4818-AC5B-881A1692E0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82-4818-AC5B-881A1692E0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82-4818-AC5B-881A1692E0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82-4818-AC5B-881A1692E0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Pivot!$K$4:$K$10</c:f>
              <c:strCache>
                <c:ptCount val="6"/>
                <c:pt idx="0">
                  <c:v>BOXJOY</c:v>
                </c:pt>
                <c:pt idx="1">
                  <c:v>EB-Everything Beautiful</c:v>
                </c:pt>
                <c:pt idx="2">
                  <c:v>Ingco</c:v>
                </c:pt>
                <c:pt idx="3">
                  <c:v>PROWL</c:v>
                </c:pt>
                <c:pt idx="4">
                  <c:v>PROWL by Tiger Shroff</c:v>
                </c:pt>
                <c:pt idx="5">
                  <c:v>TRENDIKRAFT</c:v>
                </c:pt>
              </c:strCache>
            </c:strRef>
          </c:cat>
          <c:val>
            <c:numRef>
              <c:f>Pivot!$L$4:$L$10</c:f>
              <c:numCache>
                <c:formatCode>General</c:formatCode>
                <c:ptCount val="6"/>
                <c:pt idx="0">
                  <c:v>1072</c:v>
                </c:pt>
                <c:pt idx="1">
                  <c:v>118</c:v>
                </c:pt>
                <c:pt idx="2">
                  <c:v>20</c:v>
                </c:pt>
                <c:pt idx="3">
                  <c:v>630</c:v>
                </c:pt>
                <c:pt idx="4">
                  <c:v>94</c:v>
                </c:pt>
                <c:pt idx="5">
                  <c:v>458</c:v>
                </c:pt>
              </c:numCache>
            </c:numRef>
          </c:val>
          <c:extLst>
            <c:ext xmlns:c16="http://schemas.microsoft.com/office/drawing/2014/chart" uri="{C3380CC4-5D6E-409C-BE32-E72D297353CC}">
              <c16:uniqueId val="{0000000C-0C82-4818-AC5B-881A1692E0EC}"/>
            </c:ext>
          </c:extLst>
        </c:ser>
        <c:ser>
          <c:idx val="1"/>
          <c:order val="1"/>
          <c:tx>
            <c:strRef>
              <c:f>Pivot!$M$3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311A-424D-AEAB-929D7C7D0F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311A-424D-AEAB-929D7C7D0F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311A-424D-AEAB-929D7C7D0F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311A-424D-AEAB-929D7C7D0F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311A-424D-AEAB-929D7C7D0F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311A-424D-AEAB-929D7C7D0F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Pivot!$K$4:$K$10</c:f>
              <c:strCache>
                <c:ptCount val="6"/>
                <c:pt idx="0">
                  <c:v>BOXJOY</c:v>
                </c:pt>
                <c:pt idx="1">
                  <c:v>EB-Everything Beautiful</c:v>
                </c:pt>
                <c:pt idx="2">
                  <c:v>Ingco</c:v>
                </c:pt>
                <c:pt idx="3">
                  <c:v>PROWL</c:v>
                </c:pt>
                <c:pt idx="4">
                  <c:v>PROWL by Tiger Shroff</c:v>
                </c:pt>
                <c:pt idx="5">
                  <c:v>TRENDIKRAFT</c:v>
                </c:pt>
              </c:strCache>
            </c:strRef>
          </c:cat>
          <c:val>
            <c:numRef>
              <c:f>Pivot!$M$4:$M$10</c:f>
              <c:numCache>
                <c:formatCode>"₹"\ #,##0.00</c:formatCode>
                <c:ptCount val="6"/>
                <c:pt idx="0">
                  <c:v>1320791.33</c:v>
                </c:pt>
                <c:pt idx="1">
                  <c:v>59397</c:v>
                </c:pt>
                <c:pt idx="2">
                  <c:v>67750.83</c:v>
                </c:pt>
                <c:pt idx="3">
                  <c:v>126458.69999999998</c:v>
                </c:pt>
                <c:pt idx="4">
                  <c:v>22736.799999999974</c:v>
                </c:pt>
                <c:pt idx="5">
                  <c:v>185408.49999999997</c:v>
                </c:pt>
              </c:numCache>
            </c:numRef>
          </c:val>
          <c:extLst>
            <c:ext xmlns:c16="http://schemas.microsoft.com/office/drawing/2014/chart" uri="{C3380CC4-5D6E-409C-BE32-E72D297353CC}">
              <c16:uniqueId val="{0000000D-0C82-4818-AC5B-881A1692E0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SKU</a:t>
            </a:r>
            <a:r>
              <a:rPr lang="en-IN" b="1" baseline="0">
                <a:solidFill>
                  <a:sysClr val="windowText" lastClr="000000"/>
                </a:solidFill>
              </a:rPr>
              <a:t> ID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Pivot!$O$4:$O$147</c:f>
              <c:strCache>
                <c:ptCount val="143"/>
                <c:pt idx="0">
                  <c:v>BJDZ0001-PETR007</c:v>
                </c:pt>
                <c:pt idx="1">
                  <c:v>BJDZ0002-PETR016-FBA</c:v>
                </c:pt>
                <c:pt idx="2">
                  <c:v>BJDZ0003-PETR025</c:v>
                </c:pt>
                <c:pt idx="3">
                  <c:v>BJDZ0004-PETRE8G</c:v>
                </c:pt>
                <c:pt idx="4">
                  <c:v>BJFZ0008</c:v>
                </c:pt>
                <c:pt idx="5">
                  <c:v>BJFZ0008-PPWW12S-CLOTHRACK</c:v>
                </c:pt>
                <c:pt idx="6">
                  <c:v>BJFZ0009</c:v>
                </c:pt>
                <c:pt idx="7">
                  <c:v>BJFZ0009-PPWT12S-CLOTHRACK</c:v>
                </c:pt>
                <c:pt idx="8">
                  <c:v>BJFZ0010</c:v>
                </c:pt>
                <c:pt idx="9">
                  <c:v>BJFZ0010-PPBT12S-CLOTHRACK</c:v>
                </c:pt>
                <c:pt idx="10">
                  <c:v>BJFZ0011</c:v>
                </c:pt>
                <c:pt idx="11">
                  <c:v>BJFZ0011-PPWW8S-CLOTHRACK</c:v>
                </c:pt>
                <c:pt idx="12">
                  <c:v>BJFZ0012</c:v>
                </c:pt>
                <c:pt idx="13">
                  <c:v>BJFZ0013</c:v>
                </c:pt>
                <c:pt idx="14">
                  <c:v>BJFZ0013-PPBT8S-CLOTHRACK</c:v>
                </c:pt>
                <c:pt idx="15">
                  <c:v>BJFZ0014</c:v>
                </c:pt>
                <c:pt idx="16">
                  <c:v>BJFZ0014-PPWW5S-CLOTHRACK</c:v>
                </c:pt>
                <c:pt idx="17">
                  <c:v>BJFZ0015</c:v>
                </c:pt>
                <c:pt idx="18">
                  <c:v>BJFZ0015-PPWT5S-CLOTHRACK</c:v>
                </c:pt>
                <c:pt idx="19">
                  <c:v>BJFZ0016</c:v>
                </c:pt>
                <c:pt idx="20">
                  <c:v>BJFZ0016-PPBT5S-CLOTHRACK</c:v>
                </c:pt>
                <c:pt idx="21">
                  <c:v>BJMZ00011-PPWT08S</c:v>
                </c:pt>
                <c:pt idx="22">
                  <c:v>BJMZ0001-PFBKD06S</c:v>
                </c:pt>
                <c:pt idx="23">
                  <c:v>BJMZ0002-MMBKF06S-BC</c:v>
                </c:pt>
                <c:pt idx="24">
                  <c:v>BJMZ0003-MMWHF06S-BC</c:v>
                </c:pt>
                <c:pt idx="25">
                  <c:v>BJMZ0003-MMWHF06S-PS</c:v>
                </c:pt>
                <c:pt idx="26">
                  <c:v>BJMZ0006-PPBT02S</c:v>
                </c:pt>
                <c:pt idx="27">
                  <c:v>BJMZ0007-MMBKV04S-CR</c:v>
                </c:pt>
                <c:pt idx="28">
                  <c:v>BJMZ0008-MMWHV04S-CR</c:v>
                </c:pt>
                <c:pt idx="29">
                  <c:v>BJMZ0009-MMBKH05S</c:v>
                </c:pt>
                <c:pt idx="30">
                  <c:v>BJMZ0010-MMWHH05S</c:v>
                </c:pt>
                <c:pt idx="31">
                  <c:v>BJPZ0001-MMBKLP-FBA</c:v>
                </c:pt>
                <c:pt idx="32">
                  <c:v>BJTZ0001-POWH07P</c:v>
                </c:pt>
                <c:pt idx="33">
                  <c:v>BJWZ0003-POLG17G-FBA</c:v>
                </c:pt>
                <c:pt idx="34">
                  <c:v>BJWZ0004-POLG13G-FBA</c:v>
                </c:pt>
                <c:pt idx="35">
                  <c:v>BJWZ0008-PVTRSTL-P1</c:v>
                </c:pt>
                <c:pt idx="36">
                  <c:v>BJWZ0008-PVTRSTL-P2</c:v>
                </c:pt>
                <c:pt idx="37">
                  <c:v>BJWZ0008-PVTRSTL-P4</c:v>
                </c:pt>
                <c:pt idx="38">
                  <c:v>BJWZ0008-PVTRSTL-P6</c:v>
                </c:pt>
                <c:pt idx="39">
                  <c:v>BJWZ0010-OXGYSTL-P1</c:v>
                </c:pt>
                <c:pt idx="40">
                  <c:v>BJWZ0010-OXGYSTL-P2-FBA</c:v>
                </c:pt>
                <c:pt idx="41">
                  <c:v>BJWZ0010-OXGYSTL-P4-FBA</c:v>
                </c:pt>
                <c:pt idx="42">
                  <c:v>BJWZ0010-OXGYSTL-P6-FBA</c:v>
                </c:pt>
                <c:pt idx="43">
                  <c:v>BJWZ0012-PCLGSTL-P1</c:v>
                </c:pt>
                <c:pt idx="44">
                  <c:v>BJWZ0012-PCLGSTL-P2</c:v>
                </c:pt>
                <c:pt idx="45">
                  <c:v>BJWZ0012-PCLGSTL-P4</c:v>
                </c:pt>
                <c:pt idx="46">
                  <c:v>BJWZ0012-PCLGSTL-P6</c:v>
                </c:pt>
                <c:pt idx="47">
                  <c:v>BJWZ0014-PVTR24L-FBA</c:v>
                </c:pt>
                <c:pt idx="48">
                  <c:v>BJWZ0015-PVTR66L</c:v>
                </c:pt>
                <c:pt idx="49">
                  <c:v>BJWZ0016-PVTR110</c:v>
                </c:pt>
                <c:pt idx="50">
                  <c:v>BJWZ0017-POLG24L-FBA</c:v>
                </c:pt>
                <c:pt idx="51">
                  <c:v>BJWZ0018-POLG66L</c:v>
                </c:pt>
                <c:pt idx="52">
                  <c:v>BJWZ0019-POLG110-FBA</c:v>
                </c:pt>
                <c:pt idx="53">
                  <c:v>BJWZ0021-PCLG66L</c:v>
                </c:pt>
                <c:pt idx="54">
                  <c:v>BJWZ0022-PCLG110-FBA</c:v>
                </c:pt>
                <c:pt idx="55">
                  <c:v>BJWZ0026-VBTRMLJ-FBA</c:v>
                </c:pt>
                <c:pt idx="56">
                  <c:v>BJWZ0027-VBTRMP3-FBA</c:v>
                </c:pt>
                <c:pt idx="57">
                  <c:v>BJWZ0028-VBTRLP3-FBA</c:v>
                </c:pt>
                <c:pt idx="58">
                  <c:v>BJWZ0029-VBTRJP3-FBA</c:v>
                </c:pt>
                <c:pt idx="59">
                  <c:v>BJWZ0030-POBG6B</c:v>
                </c:pt>
                <c:pt idx="60">
                  <c:v>BJWZ0031-POBG8B</c:v>
                </c:pt>
                <c:pt idx="61">
                  <c:v>BJWZ0032-VBTRLP6-FBA</c:v>
                </c:pt>
                <c:pt idx="62">
                  <c:v>BJWZ0033-VBTRJP6-FBA</c:v>
                </c:pt>
                <c:pt idx="63">
                  <c:v>BJWZ0034-VBTRC12-FBA</c:v>
                </c:pt>
                <c:pt idx="64">
                  <c:v>BJWZ0035-VBTRC20-FBA</c:v>
                </c:pt>
                <c:pt idx="65">
                  <c:v>BOXJOY-2BT-1D</c:v>
                </c:pt>
                <c:pt idx="66">
                  <c:v>BOXJOY-2BT-1D-CLOTHRACK</c:v>
                </c:pt>
                <c:pt idx="67">
                  <c:v>BOXJOY-2WT-1D</c:v>
                </c:pt>
                <c:pt idx="68">
                  <c:v>BXOYRGNR111373162</c:v>
                </c:pt>
                <c:pt idx="69">
                  <c:v>BXOYSHRC111339955</c:v>
                </c:pt>
                <c:pt idx="70">
                  <c:v>BXOYSHRC111339958</c:v>
                </c:pt>
                <c:pt idx="71">
                  <c:v>BXOYSHRC111339960</c:v>
                </c:pt>
                <c:pt idx="72">
                  <c:v>BXOYSHRC111339962</c:v>
                </c:pt>
                <c:pt idx="73">
                  <c:v>BXOYSHRC111339964</c:v>
                </c:pt>
                <c:pt idx="74">
                  <c:v>BXOYSHRC111339966</c:v>
                </c:pt>
                <c:pt idx="75">
                  <c:v>BXOYSHRC111339971</c:v>
                </c:pt>
                <c:pt idx="76">
                  <c:v>EB-FUNKY-1L V1</c:v>
                </c:pt>
                <c:pt idx="77">
                  <c:v>EB-Seamless-Classic V1 FBA</c:v>
                </c:pt>
                <c:pt idx="78">
                  <c:v>EB-Seamless-Funky Flower V1 FBA</c:v>
                </c:pt>
                <c:pt idx="79">
                  <c:v>EB-Seamless-Marble Design V1</c:v>
                </c:pt>
                <c:pt idx="80">
                  <c:v>EB-Seamless-Smooth Grey V1 FBA</c:v>
                </c:pt>
                <c:pt idx="81">
                  <c:v>EB-SS-BM-750ml-P1-FBA</c:v>
                </c:pt>
                <c:pt idx="82">
                  <c:v>EB-SS-MA-750ml-P1-FBA</c:v>
                </c:pt>
                <c:pt idx="83">
                  <c:v>EB-SS-SG-750ml-P1-FBA</c:v>
                </c:pt>
                <c:pt idx="84">
                  <c:v>EB-Steel Bottle-Modern Art-1L-P1 V1</c:v>
                </c:pt>
                <c:pt idx="85">
                  <c:v>EB-Steel Bottle-Modern Art-1L-P1 V1 FBA</c:v>
                </c:pt>
                <c:pt idx="86">
                  <c:v>EB-Steel Bottle-Smooth Black-1L-P1 V1</c:v>
                </c:pt>
                <c:pt idx="87">
                  <c:v>EB-Steel Bottle-Smooth Black-1L-P1 V1FBA</c:v>
                </c:pt>
                <c:pt idx="88">
                  <c:v>EB-Steel Bottle-Smooth Grey-1L-P2 V1 FBA</c:v>
                </c:pt>
                <c:pt idx="89">
                  <c:v>EB-Steel Bottle-Smooth Grey-750ml-P1 V1</c:v>
                </c:pt>
                <c:pt idx="90">
                  <c:v>EB-SteelBottle-SmoothBlack-750ml-P1V1FBA</c:v>
                </c:pt>
                <c:pt idx="91">
                  <c:v>EB-Steel-Funky Flower-750ml-P1 V1-FBA</c:v>
                </c:pt>
                <c:pt idx="92">
                  <c:v>EB-Tower-Marble Design-FBA</c:v>
                </c:pt>
                <c:pt idx="93">
                  <c:v>EB-Tower-Smooth Grey V1-FBA</c:v>
                </c:pt>
                <c:pt idx="94">
                  <c:v>PRBCBW001-250-P1</c:v>
                </c:pt>
                <c:pt idx="95">
                  <c:v>PRBCBW001-250-P1-FBA</c:v>
                </c:pt>
                <c:pt idx="96">
                  <c:v>PRBCUR001-40-P1</c:v>
                </c:pt>
                <c:pt idx="97">
                  <c:v>PRBCUR001-40-P1-FBA</c:v>
                </c:pt>
                <c:pt idx="98">
                  <c:v>PRFCFC001-50-P1-FBA</c:v>
                </c:pt>
                <c:pt idx="99">
                  <c:v>PRFCFW001-100-P1-FBA</c:v>
                </c:pt>
                <c:pt idx="100">
                  <c:v>PRFCLB001-04-P1</c:v>
                </c:pt>
                <c:pt idx="101">
                  <c:v>PRFCSS001-50-P1</c:v>
                </c:pt>
                <c:pt idx="102">
                  <c:v>PRFCSS001-50-P1-FBA</c:v>
                </c:pt>
                <c:pt idx="103">
                  <c:v>PTISBWSG115557266</c:v>
                </c:pt>
                <c:pt idx="104">
                  <c:v>PTISDYCR115557863</c:v>
                </c:pt>
                <c:pt idx="105">
                  <c:v>PTISFCSS115557862</c:v>
                </c:pt>
                <c:pt idx="106">
                  <c:v>PTISFCWH115557861</c:v>
                </c:pt>
                <c:pt idx="107">
                  <c:v>PTISLPBL115557860</c:v>
                </c:pt>
                <c:pt idx="108">
                  <c:v>PTISRLON115557864</c:v>
                </c:pt>
                <c:pt idx="109">
                  <c:v>TK-RESIN-21-150-ALPHABETCHARM-FBA</c:v>
                </c:pt>
                <c:pt idx="110">
                  <c:v>TK-RESIN-21-150-JEWELKEYCHAIN-FBA</c:v>
                </c:pt>
                <c:pt idx="111">
                  <c:v>TK-RESIN-21-150-TWINCOASTER-FBA</c:v>
                </c:pt>
                <c:pt idx="112">
                  <c:v>TK-RESIN-21-150-ULTIMATE</c:v>
                </c:pt>
                <c:pt idx="113">
                  <c:v>TK-RESIN-21-150-ULTIMATE-FBA</c:v>
                </c:pt>
                <c:pt idx="114">
                  <c:v>TK-RESINKIT-21-150</c:v>
                </c:pt>
                <c:pt idx="115">
                  <c:v>TK-RESINKIT-21-1500</c:v>
                </c:pt>
                <c:pt idx="116">
                  <c:v>TK-RESINKIT-21-300-FBA</c:v>
                </c:pt>
                <c:pt idx="117">
                  <c:v>TK-RESINKIT-21-750</c:v>
                </c:pt>
                <c:pt idx="118">
                  <c:v>TK-RESINKIT-31-1200-FBA</c:v>
                </c:pt>
                <c:pt idx="119">
                  <c:v>TK-RESINKIT-31-400</c:v>
                </c:pt>
                <c:pt idx="120">
                  <c:v>TK-SW-4INCH-P1-FBA</c:v>
                </c:pt>
                <c:pt idx="121">
                  <c:v>TK-TAPE-ACRYLIC-5M-12MM-2MM</c:v>
                </c:pt>
                <c:pt idx="122">
                  <c:v>TK-TAPE-ALUMINIUM-3M-2INCH</c:v>
                </c:pt>
                <c:pt idx="123">
                  <c:v>TK-TAPE-ALUMINIUM-5M-2INCH</c:v>
                </c:pt>
                <c:pt idx="124">
                  <c:v>TK-TAPE-ANTISKID-5M-50MM-BLACK-FBA</c:v>
                </c:pt>
                <c:pt idx="125">
                  <c:v>TK-TAPE-ANTISKID-5M-50MM-GLOW-FBA</c:v>
                </c:pt>
                <c:pt idx="126">
                  <c:v>TK-TAPE-ANTISKID-5M-50MM-TRANS-FBA</c:v>
                </c:pt>
                <c:pt idx="127">
                  <c:v>TK-TAPE-ANTISKID-5M-50MM-YL-BLACK-FBA</c:v>
                </c:pt>
                <c:pt idx="128">
                  <c:v>TK-TAPE-BOPP-BROWN-65M-2INCH-P2</c:v>
                </c:pt>
                <c:pt idx="129">
                  <c:v>TK-TAPE-BOPP-TRANS-65M-2INCH-P2</c:v>
                </c:pt>
                <c:pt idx="130">
                  <c:v>TK-TAPE-BOPP-TRANS-65M-3INCH-P1</c:v>
                </c:pt>
                <c:pt idx="131">
                  <c:v>TK-TAPE-DUCT-25M-48MM</c:v>
                </c:pt>
                <c:pt idx="132">
                  <c:v>TK-TAPE-ELECTRICAL-6M-17MM-PACK6</c:v>
                </c:pt>
                <c:pt idx="133">
                  <c:v>TK-TAPE-FLOORMARKING-ZEBRA-15M-2INCH</c:v>
                </c:pt>
                <c:pt idx="134">
                  <c:v>TK-TAPE-KRAFTPAPER-50M-2INCH</c:v>
                </c:pt>
                <c:pt idx="135">
                  <c:v>TK-TAPE-MASKING-20M-12MM-PACK1</c:v>
                </c:pt>
                <c:pt idx="136">
                  <c:v>TK-TAPE-MASKING-20M-24MM-PACK1</c:v>
                </c:pt>
                <c:pt idx="137">
                  <c:v>TK-TAPE-TISSUE-50M-1INCH</c:v>
                </c:pt>
                <c:pt idx="138">
                  <c:v>TK-TAPE-TISSUE-50M-1INCH-PACK2</c:v>
                </c:pt>
                <c:pt idx="139">
                  <c:v>TK-TAPE-VASTU-BLUE-4INCH-15MTR</c:v>
                </c:pt>
                <c:pt idx="140">
                  <c:v>TK-TAPE-VASTU-GREEN-4INCH-15MTR</c:v>
                </c:pt>
                <c:pt idx="141">
                  <c:v>TK-TAPE-VASTU-WHITE-4INCH-15MTR</c:v>
                </c:pt>
                <c:pt idx="142">
                  <c:v>#N/A</c:v>
                </c:pt>
              </c:strCache>
            </c:strRef>
          </c:cat>
          <c:val>
            <c:numRef>
              <c:f>Pivot!$P$4:$P$147</c:f>
              <c:numCache>
                <c:formatCode>"₹"\ #,##0.00</c:formatCode>
                <c:ptCount val="143"/>
                <c:pt idx="0">
                  <c:v>327.42</c:v>
                </c:pt>
                <c:pt idx="1">
                  <c:v>20178.16</c:v>
                </c:pt>
                <c:pt idx="2">
                  <c:v>7450.88</c:v>
                </c:pt>
                <c:pt idx="3">
                  <c:v>0.01</c:v>
                </c:pt>
                <c:pt idx="4">
                  <c:v>20957.600000000002</c:v>
                </c:pt>
                <c:pt idx="5">
                  <c:v>2095.7600000000002</c:v>
                </c:pt>
                <c:pt idx="6">
                  <c:v>14671.170000000002</c:v>
                </c:pt>
                <c:pt idx="7">
                  <c:v>4193.22</c:v>
                </c:pt>
                <c:pt idx="8">
                  <c:v>94321.17</c:v>
                </c:pt>
                <c:pt idx="9">
                  <c:v>15698</c:v>
                </c:pt>
                <c:pt idx="10">
                  <c:v>12711.84</c:v>
                </c:pt>
                <c:pt idx="11">
                  <c:v>0</c:v>
                </c:pt>
                <c:pt idx="12">
                  <c:v>6355.92</c:v>
                </c:pt>
                <c:pt idx="13">
                  <c:v>68326.14</c:v>
                </c:pt>
                <c:pt idx="14">
                  <c:v>3176.28</c:v>
                </c:pt>
                <c:pt idx="15">
                  <c:v>5601.71</c:v>
                </c:pt>
                <c:pt idx="16">
                  <c:v>1397.46</c:v>
                </c:pt>
                <c:pt idx="17">
                  <c:v>37699.999999999993</c:v>
                </c:pt>
                <c:pt idx="18">
                  <c:v>0</c:v>
                </c:pt>
                <c:pt idx="19">
                  <c:v>598112.88</c:v>
                </c:pt>
                <c:pt idx="20">
                  <c:v>5589.84</c:v>
                </c:pt>
                <c:pt idx="21">
                  <c:v>1694.07</c:v>
                </c:pt>
                <c:pt idx="22">
                  <c:v>2965.25</c:v>
                </c:pt>
                <c:pt idx="23">
                  <c:v>11858.48</c:v>
                </c:pt>
                <c:pt idx="24">
                  <c:v>1694.07</c:v>
                </c:pt>
                <c:pt idx="25">
                  <c:v>0</c:v>
                </c:pt>
                <c:pt idx="26">
                  <c:v>2031.3600000000001</c:v>
                </c:pt>
                <c:pt idx="27">
                  <c:v>9990</c:v>
                </c:pt>
                <c:pt idx="28">
                  <c:v>7992</c:v>
                </c:pt>
                <c:pt idx="29">
                  <c:v>846.61</c:v>
                </c:pt>
                <c:pt idx="30">
                  <c:v>1845.6100000000001</c:v>
                </c:pt>
                <c:pt idx="31">
                  <c:v>26681</c:v>
                </c:pt>
                <c:pt idx="32">
                  <c:v>1016.1</c:v>
                </c:pt>
                <c:pt idx="33">
                  <c:v>11448.830000000002</c:v>
                </c:pt>
                <c:pt idx="34">
                  <c:v>2072.92</c:v>
                </c:pt>
                <c:pt idx="35">
                  <c:v>1515.24</c:v>
                </c:pt>
                <c:pt idx="36">
                  <c:v>5211.67</c:v>
                </c:pt>
                <c:pt idx="37">
                  <c:v>6136.96</c:v>
                </c:pt>
                <c:pt idx="38">
                  <c:v>7622.0399999999991</c:v>
                </c:pt>
                <c:pt idx="39">
                  <c:v>757.62</c:v>
                </c:pt>
                <c:pt idx="40">
                  <c:v>2591.21</c:v>
                </c:pt>
                <c:pt idx="41">
                  <c:v>30395.08</c:v>
                </c:pt>
                <c:pt idx="42">
                  <c:v>10876.97</c:v>
                </c:pt>
                <c:pt idx="43">
                  <c:v>0</c:v>
                </c:pt>
                <c:pt idx="44">
                  <c:v>1977.72</c:v>
                </c:pt>
                <c:pt idx="45">
                  <c:v>2269.5</c:v>
                </c:pt>
                <c:pt idx="46">
                  <c:v>5079.66</c:v>
                </c:pt>
                <c:pt idx="47">
                  <c:v>10390.969999999999</c:v>
                </c:pt>
                <c:pt idx="48">
                  <c:v>9304.27</c:v>
                </c:pt>
                <c:pt idx="49">
                  <c:v>4403.3900000000003</c:v>
                </c:pt>
                <c:pt idx="50">
                  <c:v>18904.679999999997</c:v>
                </c:pt>
                <c:pt idx="51">
                  <c:v>6519.52</c:v>
                </c:pt>
                <c:pt idx="52">
                  <c:v>1377</c:v>
                </c:pt>
                <c:pt idx="53">
                  <c:v>1439.83</c:v>
                </c:pt>
                <c:pt idx="54">
                  <c:v>2225</c:v>
                </c:pt>
                <c:pt idx="55">
                  <c:v>6536.28</c:v>
                </c:pt>
                <c:pt idx="56">
                  <c:v>3078.99</c:v>
                </c:pt>
                <c:pt idx="57">
                  <c:v>11000.32</c:v>
                </c:pt>
                <c:pt idx="58">
                  <c:v>28796.66</c:v>
                </c:pt>
                <c:pt idx="59">
                  <c:v>422.03</c:v>
                </c:pt>
                <c:pt idx="60">
                  <c:v>1520.34</c:v>
                </c:pt>
                <c:pt idx="61">
                  <c:v>3725</c:v>
                </c:pt>
                <c:pt idx="62">
                  <c:v>9616.5999999999985</c:v>
                </c:pt>
                <c:pt idx="63">
                  <c:v>2960.02</c:v>
                </c:pt>
                <c:pt idx="64">
                  <c:v>5536.98</c:v>
                </c:pt>
                <c:pt idx="65">
                  <c:v>2097</c:v>
                </c:pt>
                <c:pt idx="66">
                  <c:v>699</c:v>
                </c:pt>
                <c:pt idx="67">
                  <c:v>1398</c:v>
                </c:pt>
                <c:pt idx="68">
                  <c:v>2398</c:v>
                </c:pt>
                <c:pt idx="69">
                  <c:v>1975</c:v>
                </c:pt>
                <c:pt idx="70">
                  <c:v>1749</c:v>
                </c:pt>
                <c:pt idx="71">
                  <c:v>31482</c:v>
                </c:pt>
                <c:pt idx="72">
                  <c:v>9875</c:v>
                </c:pt>
                <c:pt idx="73">
                  <c:v>38625</c:v>
                </c:pt>
                <c:pt idx="74">
                  <c:v>11850.02</c:v>
                </c:pt>
                <c:pt idx="75">
                  <c:v>15450</c:v>
                </c:pt>
                <c:pt idx="76">
                  <c:v>0</c:v>
                </c:pt>
                <c:pt idx="77">
                  <c:v>775</c:v>
                </c:pt>
                <c:pt idx="78">
                  <c:v>8091</c:v>
                </c:pt>
                <c:pt idx="79">
                  <c:v>925</c:v>
                </c:pt>
                <c:pt idx="80">
                  <c:v>5394</c:v>
                </c:pt>
                <c:pt idx="81">
                  <c:v>1516</c:v>
                </c:pt>
                <c:pt idx="82">
                  <c:v>3411</c:v>
                </c:pt>
                <c:pt idx="83">
                  <c:v>12886</c:v>
                </c:pt>
                <c:pt idx="84">
                  <c:v>1167</c:v>
                </c:pt>
                <c:pt idx="85">
                  <c:v>12448</c:v>
                </c:pt>
                <c:pt idx="86">
                  <c:v>2274</c:v>
                </c:pt>
                <c:pt idx="87">
                  <c:v>1323</c:v>
                </c:pt>
                <c:pt idx="88">
                  <c:v>4095</c:v>
                </c:pt>
                <c:pt idx="89">
                  <c:v>409</c:v>
                </c:pt>
                <c:pt idx="90">
                  <c:v>409</c:v>
                </c:pt>
                <c:pt idx="91">
                  <c:v>1227</c:v>
                </c:pt>
                <c:pt idx="92">
                  <c:v>1249</c:v>
                </c:pt>
                <c:pt idx="93">
                  <c:v>1798</c:v>
                </c:pt>
                <c:pt idx="94">
                  <c:v>1023.42</c:v>
                </c:pt>
                <c:pt idx="95">
                  <c:v>25228.65</c:v>
                </c:pt>
                <c:pt idx="96">
                  <c:v>198.39</c:v>
                </c:pt>
                <c:pt idx="97">
                  <c:v>22568.239999999998</c:v>
                </c:pt>
                <c:pt idx="98">
                  <c:v>23008.84</c:v>
                </c:pt>
                <c:pt idx="99">
                  <c:v>20102</c:v>
                </c:pt>
                <c:pt idx="100">
                  <c:v>9124.81</c:v>
                </c:pt>
                <c:pt idx="101">
                  <c:v>596.39</c:v>
                </c:pt>
                <c:pt idx="102">
                  <c:v>24607.96</c:v>
                </c:pt>
                <c:pt idx="103">
                  <c:v>5274.1800000000021</c:v>
                </c:pt>
                <c:pt idx="104">
                  <c:v>3276.1400000000012</c:v>
                </c:pt>
                <c:pt idx="105">
                  <c:v>3510.1500000000015</c:v>
                </c:pt>
                <c:pt idx="106">
                  <c:v>3978.1700000000019</c:v>
                </c:pt>
                <c:pt idx="107">
                  <c:v>2954</c:v>
                </c:pt>
                <c:pt idx="108">
                  <c:v>3744.1600000000017</c:v>
                </c:pt>
                <c:pt idx="109">
                  <c:v>1635.5900000000001</c:v>
                </c:pt>
                <c:pt idx="110">
                  <c:v>2369.4900000000002</c:v>
                </c:pt>
                <c:pt idx="111">
                  <c:v>39344.03</c:v>
                </c:pt>
                <c:pt idx="112">
                  <c:v>56377.060000000005</c:v>
                </c:pt>
                <c:pt idx="113">
                  <c:v>1750</c:v>
                </c:pt>
                <c:pt idx="114">
                  <c:v>1631.3600000000001</c:v>
                </c:pt>
                <c:pt idx="115">
                  <c:v>5074.5600000000004</c:v>
                </c:pt>
                <c:pt idx="116">
                  <c:v>400.84</c:v>
                </c:pt>
                <c:pt idx="117">
                  <c:v>1489.84</c:v>
                </c:pt>
                <c:pt idx="118">
                  <c:v>4997.8500000000004</c:v>
                </c:pt>
                <c:pt idx="119">
                  <c:v>2020.32</c:v>
                </c:pt>
                <c:pt idx="120">
                  <c:v>44146.5</c:v>
                </c:pt>
                <c:pt idx="121">
                  <c:v>981.36</c:v>
                </c:pt>
                <c:pt idx="122">
                  <c:v>754.26</c:v>
                </c:pt>
                <c:pt idx="123">
                  <c:v>1114.4000000000001</c:v>
                </c:pt>
                <c:pt idx="124">
                  <c:v>2898.29</c:v>
                </c:pt>
                <c:pt idx="125">
                  <c:v>0</c:v>
                </c:pt>
                <c:pt idx="126">
                  <c:v>1779.6599999999999</c:v>
                </c:pt>
                <c:pt idx="127">
                  <c:v>299.14999999999998</c:v>
                </c:pt>
                <c:pt idx="128">
                  <c:v>749.16</c:v>
                </c:pt>
                <c:pt idx="129">
                  <c:v>381.36</c:v>
                </c:pt>
                <c:pt idx="130">
                  <c:v>139.83000000000001</c:v>
                </c:pt>
                <c:pt idx="131">
                  <c:v>2336.4499999999998</c:v>
                </c:pt>
                <c:pt idx="132">
                  <c:v>1332.73</c:v>
                </c:pt>
                <c:pt idx="133">
                  <c:v>0</c:v>
                </c:pt>
                <c:pt idx="134">
                  <c:v>190.68</c:v>
                </c:pt>
                <c:pt idx="135">
                  <c:v>1091.56</c:v>
                </c:pt>
                <c:pt idx="136">
                  <c:v>1886.43</c:v>
                </c:pt>
                <c:pt idx="137">
                  <c:v>6851.84</c:v>
                </c:pt>
                <c:pt idx="138">
                  <c:v>495.77</c:v>
                </c:pt>
                <c:pt idx="139">
                  <c:v>444.07</c:v>
                </c:pt>
                <c:pt idx="140">
                  <c:v>225.42</c:v>
                </c:pt>
                <c:pt idx="141">
                  <c:v>218.64</c:v>
                </c:pt>
                <c:pt idx="142">
                  <c:v>67750.83</c:v>
                </c:pt>
              </c:numCache>
            </c:numRef>
          </c:val>
          <c:extLst>
            <c:ext xmlns:c16="http://schemas.microsoft.com/office/drawing/2014/chart" uri="{C3380CC4-5D6E-409C-BE32-E72D297353CC}">
              <c16:uniqueId val="{00000000-0ED8-4D7B-8B3A-369D2B73096F}"/>
            </c:ext>
          </c:extLst>
        </c:ser>
        <c:dLbls>
          <c:showLegendKey val="0"/>
          <c:showVal val="0"/>
          <c:showCatName val="0"/>
          <c:showSerName val="0"/>
          <c:showPercent val="0"/>
          <c:showBubbleSize val="0"/>
        </c:dLbls>
        <c:gapWidth val="219"/>
        <c:overlap val="-27"/>
        <c:axId val="193987695"/>
        <c:axId val="193988175"/>
      </c:barChart>
      <c:catAx>
        <c:axId val="1939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88175"/>
        <c:crosses val="autoZero"/>
        <c:auto val="1"/>
        <c:lblAlgn val="ctr"/>
        <c:lblOffset val="100"/>
        <c:noMultiLvlLbl val="0"/>
      </c:catAx>
      <c:valAx>
        <c:axId val="193988175"/>
        <c:scaling>
          <c:orientation val="minMax"/>
        </c:scaling>
        <c:delete val="1"/>
        <c:axPos val="l"/>
        <c:numFmt formatCode="&quot;₹&quot;\ #,##0.00" sourceLinked="1"/>
        <c:majorTickMark val="none"/>
        <c:minorTickMark val="none"/>
        <c:tickLblPos val="nextTo"/>
        <c:crossAx val="19398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Asin</a:t>
            </a:r>
            <a:r>
              <a:rPr lang="en-IN" b="1" baseline="0">
                <a:solidFill>
                  <a:sysClr val="windowText" lastClr="000000"/>
                </a:solidFill>
              </a:rPr>
              <a:t> wise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Pivot!$A$4:$A$129</c:f>
              <c:strCache>
                <c:ptCount val="125"/>
                <c:pt idx="0">
                  <c:v>B07228JBDL</c:v>
                </c:pt>
                <c:pt idx="1">
                  <c:v>B07WHL36FJ</c:v>
                </c:pt>
                <c:pt idx="2">
                  <c:v>B09RWGYLGB</c:v>
                </c:pt>
                <c:pt idx="3">
                  <c:v>B0BNNNZNZ1</c:v>
                </c:pt>
                <c:pt idx="4">
                  <c:v>B0CG9T2RQJ</c:v>
                </c:pt>
                <c:pt idx="5">
                  <c:v>B0CG9TF4MK</c:v>
                </c:pt>
                <c:pt idx="6">
                  <c:v>B0CG9VWGBT</c:v>
                </c:pt>
                <c:pt idx="7">
                  <c:v>B0CG9WX5YY</c:v>
                </c:pt>
                <c:pt idx="8">
                  <c:v>B0CG9XZS42</c:v>
                </c:pt>
                <c:pt idx="9">
                  <c:v>B0CG9ZC1WK</c:v>
                </c:pt>
                <c:pt idx="10">
                  <c:v>B0CGJH5C7Q</c:v>
                </c:pt>
                <c:pt idx="11">
                  <c:v>B0CGJHWRJL</c:v>
                </c:pt>
                <c:pt idx="12">
                  <c:v>B0CGJJJ9RJ</c:v>
                </c:pt>
                <c:pt idx="13">
                  <c:v>B0CGJJQRS1</c:v>
                </c:pt>
                <c:pt idx="14">
                  <c:v>B0CGJKKT68</c:v>
                </c:pt>
                <c:pt idx="15">
                  <c:v>B0CGJQXTY5</c:v>
                </c:pt>
                <c:pt idx="16">
                  <c:v>B0CGJS4YPF</c:v>
                </c:pt>
                <c:pt idx="17">
                  <c:v>B0CGJYXQQX</c:v>
                </c:pt>
                <c:pt idx="18">
                  <c:v>B0CGT4V35W</c:v>
                </c:pt>
                <c:pt idx="19">
                  <c:v>B0CGTBL1QC</c:v>
                </c:pt>
                <c:pt idx="20">
                  <c:v>B0CGTRKLD9</c:v>
                </c:pt>
                <c:pt idx="21">
                  <c:v>B0CQ4SQ3VG</c:v>
                </c:pt>
                <c:pt idx="22">
                  <c:v>B0CQ581TW3</c:v>
                </c:pt>
                <c:pt idx="23">
                  <c:v>B0CQ5B17JG</c:v>
                </c:pt>
                <c:pt idx="24">
                  <c:v>B0CQ5B3Y44</c:v>
                </c:pt>
                <c:pt idx="25">
                  <c:v>B0CQ7QHFPD</c:v>
                </c:pt>
                <c:pt idx="26">
                  <c:v>B0CQ7V4FZZ</c:v>
                </c:pt>
                <c:pt idx="27">
                  <c:v>B0CQ7VQKWD</c:v>
                </c:pt>
                <c:pt idx="28">
                  <c:v>B0CQ87NCWG</c:v>
                </c:pt>
                <c:pt idx="29">
                  <c:v>B0CQCSDMF3</c:v>
                </c:pt>
                <c:pt idx="30">
                  <c:v>B0CQJWCP1Q</c:v>
                </c:pt>
                <c:pt idx="31">
                  <c:v>B0CQJWKMY8</c:v>
                </c:pt>
                <c:pt idx="32">
                  <c:v>B0CQJWV4PD</c:v>
                </c:pt>
                <c:pt idx="33">
                  <c:v>B0CQKHR4QM</c:v>
                </c:pt>
                <c:pt idx="34">
                  <c:v>B0CQKM2N7Y</c:v>
                </c:pt>
                <c:pt idx="35">
                  <c:v>B0CQKM5PY8</c:v>
                </c:pt>
                <c:pt idx="36">
                  <c:v>B0CZ6SHWZV</c:v>
                </c:pt>
                <c:pt idx="37">
                  <c:v>B0D6CFD2SN</c:v>
                </c:pt>
                <c:pt idx="38">
                  <c:v>B0D6CTLM5Z</c:v>
                </c:pt>
                <c:pt idx="39">
                  <c:v>B0D6GS7ZDV</c:v>
                </c:pt>
                <c:pt idx="40">
                  <c:v>B0D6GSWFX3</c:v>
                </c:pt>
                <c:pt idx="41">
                  <c:v>B0D6NF4V43</c:v>
                </c:pt>
                <c:pt idx="42">
                  <c:v>B0D6W6HPLS</c:v>
                </c:pt>
                <c:pt idx="43">
                  <c:v>B0D6YXXQFN</c:v>
                </c:pt>
                <c:pt idx="44">
                  <c:v>B0D78Y95TG</c:v>
                </c:pt>
                <c:pt idx="45">
                  <c:v>B0D78YQMSX</c:v>
                </c:pt>
                <c:pt idx="46">
                  <c:v>B0D78ZQ3HR</c:v>
                </c:pt>
                <c:pt idx="47">
                  <c:v>B0DL5Q78BV</c:v>
                </c:pt>
                <c:pt idx="48">
                  <c:v>B0DL5RWSYM</c:v>
                </c:pt>
                <c:pt idx="49">
                  <c:v>B0DL5S1HNX</c:v>
                </c:pt>
                <c:pt idx="50">
                  <c:v>B0DL5S9NJK</c:v>
                </c:pt>
                <c:pt idx="51">
                  <c:v>B0DL5SN9XJ</c:v>
                </c:pt>
                <c:pt idx="52">
                  <c:v>B0DL5TT3B1</c:v>
                </c:pt>
                <c:pt idx="53">
                  <c:v>B0DLVF925Q</c:v>
                </c:pt>
                <c:pt idx="54">
                  <c:v>B0DLVG2BFS</c:v>
                </c:pt>
                <c:pt idx="55">
                  <c:v>B0DLVGWRVJ</c:v>
                </c:pt>
                <c:pt idx="56">
                  <c:v>B0DNFQL11S</c:v>
                </c:pt>
                <c:pt idx="57">
                  <c:v>B0DQ5KFMBQ</c:v>
                </c:pt>
                <c:pt idx="58">
                  <c:v>B0DQ5MCP6Y</c:v>
                </c:pt>
                <c:pt idx="59">
                  <c:v>B0DQ5PK895</c:v>
                </c:pt>
                <c:pt idx="60">
                  <c:v>B0DQ5Q7MR5</c:v>
                </c:pt>
                <c:pt idx="61">
                  <c:v>B0DQ5RD863</c:v>
                </c:pt>
                <c:pt idx="62">
                  <c:v>B0DQ5SR3TV</c:v>
                </c:pt>
                <c:pt idx="63">
                  <c:v>B0DQ5T31BF</c:v>
                </c:pt>
                <c:pt idx="64">
                  <c:v>B0DQ5TMTZV</c:v>
                </c:pt>
                <c:pt idx="65">
                  <c:v>B0DR9BGVDJ</c:v>
                </c:pt>
                <c:pt idx="66">
                  <c:v>B0DR9HSWP3</c:v>
                </c:pt>
                <c:pt idx="67">
                  <c:v>B0DR9JFTPF</c:v>
                </c:pt>
                <c:pt idx="68">
                  <c:v>B0DR9JSKGQ</c:v>
                </c:pt>
                <c:pt idx="69">
                  <c:v>B0DR9K9F2S</c:v>
                </c:pt>
                <c:pt idx="70">
                  <c:v>B0DR9KDFXJ</c:v>
                </c:pt>
                <c:pt idx="71">
                  <c:v>B0DR9KFG48</c:v>
                </c:pt>
                <c:pt idx="72">
                  <c:v>B0DR9KS9JM</c:v>
                </c:pt>
                <c:pt idx="73">
                  <c:v>B0DR9L29BG</c:v>
                </c:pt>
                <c:pt idx="74">
                  <c:v>B0DR9LGNRD</c:v>
                </c:pt>
                <c:pt idx="75">
                  <c:v>B0DR9LHJ95</c:v>
                </c:pt>
                <c:pt idx="76">
                  <c:v>B0DR9LL896</c:v>
                </c:pt>
                <c:pt idx="77">
                  <c:v>B0DR9LNWY7</c:v>
                </c:pt>
                <c:pt idx="78">
                  <c:v>B0DR9LZH6P</c:v>
                </c:pt>
                <c:pt idx="79">
                  <c:v>B0DR9MG4MS</c:v>
                </c:pt>
                <c:pt idx="80">
                  <c:v>B0DR9MKPYZ</c:v>
                </c:pt>
                <c:pt idx="81">
                  <c:v>B0DR9MKR78</c:v>
                </c:pt>
                <c:pt idx="82">
                  <c:v>B0DR9MVW7T</c:v>
                </c:pt>
                <c:pt idx="83">
                  <c:v>B0DR9MW2KT</c:v>
                </c:pt>
                <c:pt idx="84">
                  <c:v>B0DR9N7Q8F</c:v>
                </c:pt>
                <c:pt idx="85">
                  <c:v>B0DR9NWCKG</c:v>
                </c:pt>
                <c:pt idx="86">
                  <c:v>B0DR9P2H1V</c:v>
                </c:pt>
                <c:pt idx="87">
                  <c:v>B0DRCZSP6Q</c:v>
                </c:pt>
                <c:pt idx="88">
                  <c:v>B0DRDC3KQ4</c:v>
                </c:pt>
                <c:pt idx="89">
                  <c:v>B0DRDD3D14</c:v>
                </c:pt>
                <c:pt idx="90">
                  <c:v>B0DRDGQJ88</c:v>
                </c:pt>
                <c:pt idx="91">
                  <c:v>B0DSWHYY5Z</c:v>
                </c:pt>
                <c:pt idx="92">
                  <c:v>B0DSWJWG3V</c:v>
                </c:pt>
                <c:pt idx="93">
                  <c:v>B0DSWKD33H</c:v>
                </c:pt>
                <c:pt idx="94">
                  <c:v>B0DSWKKM92</c:v>
                </c:pt>
                <c:pt idx="95">
                  <c:v>B0F4DDT3QN</c:v>
                </c:pt>
                <c:pt idx="96">
                  <c:v>B0F4DHRLN8</c:v>
                </c:pt>
                <c:pt idx="97">
                  <c:v>B0F71RY7C4</c:v>
                </c:pt>
                <c:pt idx="98">
                  <c:v>B0FCML8S9H</c:v>
                </c:pt>
                <c:pt idx="99">
                  <c:v>B0FCMMFSCW</c:v>
                </c:pt>
                <c:pt idx="100">
                  <c:v>B0FCMMVN95</c:v>
                </c:pt>
                <c:pt idx="101">
                  <c:v>B0FGJWZ2FQ</c:v>
                </c:pt>
                <c:pt idx="102">
                  <c:v>B0FGJWZQGH</c:v>
                </c:pt>
                <c:pt idx="103">
                  <c:v>B0FGJY58J9</c:v>
                </c:pt>
                <c:pt idx="104">
                  <c:v>B0FGK1B341</c:v>
                </c:pt>
                <c:pt idx="105">
                  <c:v>B0FGPRKH6B</c:v>
                </c:pt>
                <c:pt idx="106">
                  <c:v>B0FGQC5YK3</c:v>
                </c:pt>
                <c:pt idx="107">
                  <c:v>B0FGQCX8NL</c:v>
                </c:pt>
                <c:pt idx="108">
                  <c:v>B0FJ2BZWXK</c:v>
                </c:pt>
                <c:pt idx="109">
                  <c:v>B0FJ2GXG5K</c:v>
                </c:pt>
                <c:pt idx="110">
                  <c:v>B0FJ2J1JL6</c:v>
                </c:pt>
                <c:pt idx="111">
                  <c:v>B0FJ2JBL4J</c:v>
                </c:pt>
                <c:pt idx="112">
                  <c:v>B0FJ2JHL43</c:v>
                </c:pt>
                <c:pt idx="113">
                  <c:v>B0FJ2K6919</c:v>
                </c:pt>
                <c:pt idx="114">
                  <c:v>B0FKTKGZZR</c:v>
                </c:pt>
                <c:pt idx="115">
                  <c:v>B0FKTLGWL1</c:v>
                </c:pt>
                <c:pt idx="116">
                  <c:v>B0FKTLR4VF</c:v>
                </c:pt>
                <c:pt idx="117">
                  <c:v>B0FKTM1FQH</c:v>
                </c:pt>
                <c:pt idx="118">
                  <c:v>B0FKTP5GJQ</c:v>
                </c:pt>
                <c:pt idx="119">
                  <c:v>B0FKTV5VTN</c:v>
                </c:pt>
                <c:pt idx="120">
                  <c:v>B0FKV4NSS2</c:v>
                </c:pt>
                <c:pt idx="121">
                  <c:v>B0FKV8QS9W</c:v>
                </c:pt>
                <c:pt idx="122">
                  <c:v>B0FKVRYRBG</c:v>
                </c:pt>
                <c:pt idx="123">
                  <c:v>B0FMD9C9PB</c:v>
                </c:pt>
                <c:pt idx="124">
                  <c:v>B0FMDM6QMV</c:v>
                </c:pt>
              </c:strCache>
            </c:strRef>
          </c:cat>
          <c:val>
            <c:numRef>
              <c:f>Pivot!$B$4:$B$129</c:f>
              <c:numCache>
                <c:formatCode>"₹"\ #,##0.00</c:formatCode>
                <c:ptCount val="125"/>
                <c:pt idx="0">
                  <c:v>1893.2199999999998</c:v>
                </c:pt>
                <c:pt idx="1">
                  <c:v>1316.0900000000001</c:v>
                </c:pt>
                <c:pt idx="2">
                  <c:v>64541.52</c:v>
                </c:pt>
                <c:pt idx="3">
                  <c:v>1249</c:v>
                </c:pt>
                <c:pt idx="4">
                  <c:v>1631.3600000000001</c:v>
                </c:pt>
                <c:pt idx="5">
                  <c:v>1489.84</c:v>
                </c:pt>
                <c:pt idx="6">
                  <c:v>4997.8500000000004</c:v>
                </c:pt>
                <c:pt idx="7">
                  <c:v>5074.5600000000004</c:v>
                </c:pt>
                <c:pt idx="8">
                  <c:v>2020.32</c:v>
                </c:pt>
                <c:pt idx="9">
                  <c:v>400.84</c:v>
                </c:pt>
                <c:pt idx="10">
                  <c:v>981.36</c:v>
                </c:pt>
                <c:pt idx="11">
                  <c:v>0</c:v>
                </c:pt>
                <c:pt idx="12">
                  <c:v>2336.4499999999998</c:v>
                </c:pt>
                <c:pt idx="13">
                  <c:v>2898.29</c:v>
                </c:pt>
                <c:pt idx="14">
                  <c:v>1114.4000000000001</c:v>
                </c:pt>
                <c:pt idx="15">
                  <c:v>0</c:v>
                </c:pt>
                <c:pt idx="16">
                  <c:v>190.68</c:v>
                </c:pt>
                <c:pt idx="17">
                  <c:v>6851.84</c:v>
                </c:pt>
                <c:pt idx="18">
                  <c:v>139.83000000000001</c:v>
                </c:pt>
                <c:pt idx="19">
                  <c:v>381.36</c:v>
                </c:pt>
                <c:pt idx="20">
                  <c:v>749.16</c:v>
                </c:pt>
                <c:pt idx="21">
                  <c:v>925</c:v>
                </c:pt>
                <c:pt idx="22">
                  <c:v>4095</c:v>
                </c:pt>
                <c:pt idx="23">
                  <c:v>409</c:v>
                </c:pt>
                <c:pt idx="24">
                  <c:v>1227</c:v>
                </c:pt>
                <c:pt idx="25">
                  <c:v>1798</c:v>
                </c:pt>
                <c:pt idx="26">
                  <c:v>5394</c:v>
                </c:pt>
                <c:pt idx="27">
                  <c:v>8091</c:v>
                </c:pt>
                <c:pt idx="28">
                  <c:v>775</c:v>
                </c:pt>
                <c:pt idx="29">
                  <c:v>2369.4900000000002</c:v>
                </c:pt>
                <c:pt idx="30">
                  <c:v>58127.060000000005</c:v>
                </c:pt>
                <c:pt idx="31">
                  <c:v>1635.5900000000001</c:v>
                </c:pt>
                <c:pt idx="32">
                  <c:v>39344.03</c:v>
                </c:pt>
                <c:pt idx="33">
                  <c:v>495.77</c:v>
                </c:pt>
                <c:pt idx="34">
                  <c:v>1091.56</c:v>
                </c:pt>
                <c:pt idx="35">
                  <c:v>1886.43</c:v>
                </c:pt>
                <c:pt idx="36">
                  <c:v>0</c:v>
                </c:pt>
                <c:pt idx="37">
                  <c:v>3597</c:v>
                </c:pt>
                <c:pt idx="38">
                  <c:v>409</c:v>
                </c:pt>
                <c:pt idx="39">
                  <c:v>1779.6599999999999</c:v>
                </c:pt>
                <c:pt idx="40">
                  <c:v>299.14999999999998</c:v>
                </c:pt>
                <c:pt idx="41">
                  <c:v>1332.73</c:v>
                </c:pt>
                <c:pt idx="42">
                  <c:v>13615</c:v>
                </c:pt>
                <c:pt idx="43">
                  <c:v>754.26</c:v>
                </c:pt>
                <c:pt idx="44">
                  <c:v>444.07</c:v>
                </c:pt>
                <c:pt idx="45">
                  <c:v>218.64</c:v>
                </c:pt>
                <c:pt idx="46">
                  <c:v>225.42</c:v>
                </c:pt>
                <c:pt idx="47">
                  <c:v>132946.16999999998</c:v>
                </c:pt>
                <c:pt idx="48">
                  <c:v>16230.92</c:v>
                </c:pt>
                <c:pt idx="49">
                  <c:v>14686.84</c:v>
                </c:pt>
                <c:pt idx="50">
                  <c:v>30121.170000000002</c:v>
                </c:pt>
                <c:pt idx="51">
                  <c:v>80176.160000000003</c:v>
                </c:pt>
                <c:pt idx="52">
                  <c:v>20957.600000000002</c:v>
                </c:pt>
                <c:pt idx="53">
                  <c:v>39448.999999999993</c:v>
                </c:pt>
                <c:pt idx="54">
                  <c:v>5601.71</c:v>
                </c:pt>
                <c:pt idx="55">
                  <c:v>629594.88</c:v>
                </c:pt>
                <c:pt idx="56">
                  <c:v>44146.5</c:v>
                </c:pt>
                <c:pt idx="57">
                  <c:v>5589.84</c:v>
                </c:pt>
                <c:pt idx="58">
                  <c:v>1397.46</c:v>
                </c:pt>
                <c:pt idx="59">
                  <c:v>3176.28</c:v>
                </c:pt>
                <c:pt idx="60">
                  <c:v>2095.7600000000002</c:v>
                </c:pt>
                <c:pt idx="61">
                  <c:v>0</c:v>
                </c:pt>
                <c:pt idx="62">
                  <c:v>4193.22</c:v>
                </c:pt>
                <c:pt idx="63">
                  <c:v>0</c:v>
                </c:pt>
                <c:pt idx="64">
                  <c:v>15698</c:v>
                </c:pt>
                <c:pt idx="65">
                  <c:v>6536.28</c:v>
                </c:pt>
                <c:pt idx="66">
                  <c:v>32793.08</c:v>
                </c:pt>
                <c:pt idx="67">
                  <c:v>2225</c:v>
                </c:pt>
                <c:pt idx="68">
                  <c:v>18904.679999999997</c:v>
                </c:pt>
                <c:pt idx="69">
                  <c:v>6519.52</c:v>
                </c:pt>
                <c:pt idx="70">
                  <c:v>5211.67</c:v>
                </c:pt>
                <c:pt idx="71">
                  <c:v>757.62</c:v>
                </c:pt>
                <c:pt idx="72">
                  <c:v>10390.969999999999</c:v>
                </c:pt>
                <c:pt idx="73">
                  <c:v>4403.3900000000003</c:v>
                </c:pt>
                <c:pt idx="74">
                  <c:v>2269.5</c:v>
                </c:pt>
                <c:pt idx="75">
                  <c:v>9304.27</c:v>
                </c:pt>
                <c:pt idx="76">
                  <c:v>2591.21</c:v>
                </c:pt>
                <c:pt idx="77">
                  <c:v>0</c:v>
                </c:pt>
                <c:pt idx="78">
                  <c:v>5079.66</c:v>
                </c:pt>
                <c:pt idx="79">
                  <c:v>2072.92</c:v>
                </c:pt>
                <c:pt idx="80">
                  <c:v>11448.830000000002</c:v>
                </c:pt>
                <c:pt idx="81">
                  <c:v>6136.96</c:v>
                </c:pt>
                <c:pt idx="82">
                  <c:v>1377</c:v>
                </c:pt>
                <c:pt idx="83">
                  <c:v>1515.24</c:v>
                </c:pt>
                <c:pt idx="84">
                  <c:v>1977.72</c:v>
                </c:pt>
                <c:pt idx="85">
                  <c:v>1439.83</c:v>
                </c:pt>
                <c:pt idx="86">
                  <c:v>10876.97</c:v>
                </c:pt>
                <c:pt idx="87">
                  <c:v>7622.0399999999991</c:v>
                </c:pt>
                <c:pt idx="88">
                  <c:v>11000.32</c:v>
                </c:pt>
                <c:pt idx="89">
                  <c:v>28796.66</c:v>
                </c:pt>
                <c:pt idx="90">
                  <c:v>3078.99</c:v>
                </c:pt>
                <c:pt idx="91">
                  <c:v>0.01</c:v>
                </c:pt>
                <c:pt idx="92">
                  <c:v>327.42</c:v>
                </c:pt>
                <c:pt idx="93">
                  <c:v>7450.88</c:v>
                </c:pt>
                <c:pt idx="94">
                  <c:v>20178.16</c:v>
                </c:pt>
                <c:pt idx="95">
                  <c:v>2097</c:v>
                </c:pt>
                <c:pt idx="96">
                  <c:v>1398</c:v>
                </c:pt>
                <c:pt idx="97">
                  <c:v>699</c:v>
                </c:pt>
                <c:pt idx="98">
                  <c:v>3411</c:v>
                </c:pt>
                <c:pt idx="99">
                  <c:v>1516</c:v>
                </c:pt>
                <c:pt idx="100">
                  <c:v>12886</c:v>
                </c:pt>
                <c:pt idx="101">
                  <c:v>5536.98</c:v>
                </c:pt>
                <c:pt idx="102">
                  <c:v>2960.02</c:v>
                </c:pt>
                <c:pt idx="103">
                  <c:v>9616.5999999999985</c:v>
                </c:pt>
                <c:pt idx="104">
                  <c:v>3725</c:v>
                </c:pt>
                <c:pt idx="105">
                  <c:v>1016.1</c:v>
                </c:pt>
                <c:pt idx="106">
                  <c:v>1520.34</c:v>
                </c:pt>
                <c:pt idx="107">
                  <c:v>422.03</c:v>
                </c:pt>
                <c:pt idx="108">
                  <c:v>28714.499999999975</c:v>
                </c:pt>
                <c:pt idx="109">
                  <c:v>26284.979999999978</c:v>
                </c:pt>
                <c:pt idx="110">
                  <c:v>24080.169999999973</c:v>
                </c:pt>
                <c:pt idx="111">
                  <c:v>26510.789999999972</c:v>
                </c:pt>
                <c:pt idx="112">
                  <c:v>31526.249999999971</c:v>
                </c:pt>
                <c:pt idx="113">
                  <c:v>12078.81</c:v>
                </c:pt>
                <c:pt idx="114">
                  <c:v>1845.6100000000001</c:v>
                </c:pt>
                <c:pt idx="115">
                  <c:v>846.61</c:v>
                </c:pt>
                <c:pt idx="116">
                  <c:v>2965.25</c:v>
                </c:pt>
                <c:pt idx="117">
                  <c:v>2031.3600000000001</c:v>
                </c:pt>
                <c:pt idx="118">
                  <c:v>26681</c:v>
                </c:pt>
                <c:pt idx="119">
                  <c:v>1694.07</c:v>
                </c:pt>
                <c:pt idx="120">
                  <c:v>1694.07</c:v>
                </c:pt>
                <c:pt idx="121">
                  <c:v>11858.48</c:v>
                </c:pt>
                <c:pt idx="122">
                  <c:v>0</c:v>
                </c:pt>
                <c:pt idx="123">
                  <c:v>9990</c:v>
                </c:pt>
                <c:pt idx="124">
                  <c:v>7992</c:v>
                </c:pt>
              </c:numCache>
            </c:numRef>
          </c:val>
          <c:extLst>
            <c:ext xmlns:c16="http://schemas.microsoft.com/office/drawing/2014/chart" uri="{C3380CC4-5D6E-409C-BE32-E72D297353CC}">
              <c16:uniqueId val="{00000000-DCF5-4BBA-B567-778D465F3CB6}"/>
            </c:ext>
          </c:extLst>
        </c:ser>
        <c:dLbls>
          <c:showLegendKey val="0"/>
          <c:showVal val="0"/>
          <c:showCatName val="0"/>
          <c:showSerName val="0"/>
          <c:showPercent val="0"/>
          <c:showBubbleSize val="0"/>
        </c:dLbls>
        <c:gapWidth val="219"/>
        <c:overlap val="-27"/>
        <c:axId val="916954959"/>
        <c:axId val="916955919"/>
      </c:barChart>
      <c:catAx>
        <c:axId val="9169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55919"/>
        <c:crosses val="autoZero"/>
        <c:auto val="1"/>
        <c:lblAlgn val="ctr"/>
        <c:lblOffset val="100"/>
        <c:noMultiLvlLbl val="0"/>
      </c:catAx>
      <c:valAx>
        <c:axId val="91695591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91695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Asin</a:t>
            </a:r>
            <a:r>
              <a:rPr lang="en-IN" b="1" baseline="0">
                <a:solidFill>
                  <a:sysClr val="windowText" lastClr="000000"/>
                </a:solidFill>
              </a:rPr>
              <a:t> wise Revenue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Pivot!$A$4:$A$129</c:f>
              <c:strCache>
                <c:ptCount val="125"/>
                <c:pt idx="0">
                  <c:v>B07228JBDL</c:v>
                </c:pt>
                <c:pt idx="1">
                  <c:v>B07WHL36FJ</c:v>
                </c:pt>
                <c:pt idx="2">
                  <c:v>B09RWGYLGB</c:v>
                </c:pt>
                <c:pt idx="3">
                  <c:v>B0BNNNZNZ1</c:v>
                </c:pt>
                <c:pt idx="4">
                  <c:v>B0CG9T2RQJ</c:v>
                </c:pt>
                <c:pt idx="5">
                  <c:v>B0CG9TF4MK</c:v>
                </c:pt>
                <c:pt idx="6">
                  <c:v>B0CG9VWGBT</c:v>
                </c:pt>
                <c:pt idx="7">
                  <c:v>B0CG9WX5YY</c:v>
                </c:pt>
                <c:pt idx="8">
                  <c:v>B0CG9XZS42</c:v>
                </c:pt>
                <c:pt idx="9">
                  <c:v>B0CG9ZC1WK</c:v>
                </c:pt>
                <c:pt idx="10">
                  <c:v>B0CGJH5C7Q</c:v>
                </c:pt>
                <c:pt idx="11">
                  <c:v>B0CGJHWRJL</c:v>
                </c:pt>
                <c:pt idx="12">
                  <c:v>B0CGJJJ9RJ</c:v>
                </c:pt>
                <c:pt idx="13">
                  <c:v>B0CGJJQRS1</c:v>
                </c:pt>
                <c:pt idx="14">
                  <c:v>B0CGJKKT68</c:v>
                </c:pt>
                <c:pt idx="15">
                  <c:v>B0CGJQXTY5</c:v>
                </c:pt>
                <c:pt idx="16">
                  <c:v>B0CGJS4YPF</c:v>
                </c:pt>
                <c:pt idx="17">
                  <c:v>B0CGJYXQQX</c:v>
                </c:pt>
                <c:pt idx="18">
                  <c:v>B0CGT4V35W</c:v>
                </c:pt>
                <c:pt idx="19">
                  <c:v>B0CGTBL1QC</c:v>
                </c:pt>
                <c:pt idx="20">
                  <c:v>B0CGTRKLD9</c:v>
                </c:pt>
                <c:pt idx="21">
                  <c:v>B0CQ4SQ3VG</c:v>
                </c:pt>
                <c:pt idx="22">
                  <c:v>B0CQ581TW3</c:v>
                </c:pt>
                <c:pt idx="23">
                  <c:v>B0CQ5B17JG</c:v>
                </c:pt>
                <c:pt idx="24">
                  <c:v>B0CQ5B3Y44</c:v>
                </c:pt>
                <c:pt idx="25">
                  <c:v>B0CQ7QHFPD</c:v>
                </c:pt>
                <c:pt idx="26">
                  <c:v>B0CQ7V4FZZ</c:v>
                </c:pt>
                <c:pt idx="27">
                  <c:v>B0CQ7VQKWD</c:v>
                </c:pt>
                <c:pt idx="28">
                  <c:v>B0CQ87NCWG</c:v>
                </c:pt>
                <c:pt idx="29">
                  <c:v>B0CQCSDMF3</c:v>
                </c:pt>
                <c:pt idx="30">
                  <c:v>B0CQJWCP1Q</c:v>
                </c:pt>
                <c:pt idx="31">
                  <c:v>B0CQJWKMY8</c:v>
                </c:pt>
                <c:pt idx="32">
                  <c:v>B0CQJWV4PD</c:v>
                </c:pt>
                <c:pt idx="33">
                  <c:v>B0CQKHR4QM</c:v>
                </c:pt>
                <c:pt idx="34">
                  <c:v>B0CQKM2N7Y</c:v>
                </c:pt>
                <c:pt idx="35">
                  <c:v>B0CQKM5PY8</c:v>
                </c:pt>
                <c:pt idx="36">
                  <c:v>B0CZ6SHWZV</c:v>
                </c:pt>
                <c:pt idx="37">
                  <c:v>B0D6CFD2SN</c:v>
                </c:pt>
                <c:pt idx="38">
                  <c:v>B0D6CTLM5Z</c:v>
                </c:pt>
                <c:pt idx="39">
                  <c:v>B0D6GS7ZDV</c:v>
                </c:pt>
                <c:pt idx="40">
                  <c:v>B0D6GSWFX3</c:v>
                </c:pt>
                <c:pt idx="41">
                  <c:v>B0D6NF4V43</c:v>
                </c:pt>
                <c:pt idx="42">
                  <c:v>B0D6W6HPLS</c:v>
                </c:pt>
                <c:pt idx="43">
                  <c:v>B0D6YXXQFN</c:v>
                </c:pt>
                <c:pt idx="44">
                  <c:v>B0D78Y95TG</c:v>
                </c:pt>
                <c:pt idx="45">
                  <c:v>B0D78YQMSX</c:v>
                </c:pt>
                <c:pt idx="46">
                  <c:v>B0D78ZQ3HR</c:v>
                </c:pt>
                <c:pt idx="47">
                  <c:v>B0DL5Q78BV</c:v>
                </c:pt>
                <c:pt idx="48">
                  <c:v>B0DL5RWSYM</c:v>
                </c:pt>
                <c:pt idx="49">
                  <c:v>B0DL5S1HNX</c:v>
                </c:pt>
                <c:pt idx="50">
                  <c:v>B0DL5S9NJK</c:v>
                </c:pt>
                <c:pt idx="51">
                  <c:v>B0DL5SN9XJ</c:v>
                </c:pt>
                <c:pt idx="52">
                  <c:v>B0DL5TT3B1</c:v>
                </c:pt>
                <c:pt idx="53">
                  <c:v>B0DLVF925Q</c:v>
                </c:pt>
                <c:pt idx="54">
                  <c:v>B0DLVG2BFS</c:v>
                </c:pt>
                <c:pt idx="55">
                  <c:v>B0DLVGWRVJ</c:v>
                </c:pt>
                <c:pt idx="56">
                  <c:v>B0DNFQL11S</c:v>
                </c:pt>
                <c:pt idx="57">
                  <c:v>B0DQ5KFMBQ</c:v>
                </c:pt>
                <c:pt idx="58">
                  <c:v>B0DQ5MCP6Y</c:v>
                </c:pt>
                <c:pt idx="59">
                  <c:v>B0DQ5PK895</c:v>
                </c:pt>
                <c:pt idx="60">
                  <c:v>B0DQ5Q7MR5</c:v>
                </c:pt>
                <c:pt idx="61">
                  <c:v>B0DQ5RD863</c:v>
                </c:pt>
                <c:pt idx="62">
                  <c:v>B0DQ5SR3TV</c:v>
                </c:pt>
                <c:pt idx="63">
                  <c:v>B0DQ5T31BF</c:v>
                </c:pt>
                <c:pt idx="64">
                  <c:v>B0DQ5TMTZV</c:v>
                </c:pt>
                <c:pt idx="65">
                  <c:v>B0DR9BGVDJ</c:v>
                </c:pt>
                <c:pt idx="66">
                  <c:v>B0DR9HSWP3</c:v>
                </c:pt>
                <c:pt idx="67">
                  <c:v>B0DR9JFTPF</c:v>
                </c:pt>
                <c:pt idx="68">
                  <c:v>B0DR9JSKGQ</c:v>
                </c:pt>
                <c:pt idx="69">
                  <c:v>B0DR9K9F2S</c:v>
                </c:pt>
                <c:pt idx="70">
                  <c:v>B0DR9KDFXJ</c:v>
                </c:pt>
                <c:pt idx="71">
                  <c:v>B0DR9KFG48</c:v>
                </c:pt>
                <c:pt idx="72">
                  <c:v>B0DR9KS9JM</c:v>
                </c:pt>
                <c:pt idx="73">
                  <c:v>B0DR9L29BG</c:v>
                </c:pt>
                <c:pt idx="74">
                  <c:v>B0DR9LGNRD</c:v>
                </c:pt>
                <c:pt idx="75">
                  <c:v>B0DR9LHJ95</c:v>
                </c:pt>
                <c:pt idx="76">
                  <c:v>B0DR9LL896</c:v>
                </c:pt>
                <c:pt idx="77">
                  <c:v>B0DR9LNWY7</c:v>
                </c:pt>
                <c:pt idx="78">
                  <c:v>B0DR9LZH6P</c:v>
                </c:pt>
                <c:pt idx="79">
                  <c:v>B0DR9MG4MS</c:v>
                </c:pt>
                <c:pt idx="80">
                  <c:v>B0DR9MKPYZ</c:v>
                </c:pt>
                <c:pt idx="81">
                  <c:v>B0DR9MKR78</c:v>
                </c:pt>
                <c:pt idx="82">
                  <c:v>B0DR9MVW7T</c:v>
                </c:pt>
                <c:pt idx="83">
                  <c:v>B0DR9MW2KT</c:v>
                </c:pt>
                <c:pt idx="84">
                  <c:v>B0DR9N7Q8F</c:v>
                </c:pt>
                <c:pt idx="85">
                  <c:v>B0DR9NWCKG</c:v>
                </c:pt>
                <c:pt idx="86">
                  <c:v>B0DR9P2H1V</c:v>
                </c:pt>
                <c:pt idx="87">
                  <c:v>B0DRCZSP6Q</c:v>
                </c:pt>
                <c:pt idx="88">
                  <c:v>B0DRDC3KQ4</c:v>
                </c:pt>
                <c:pt idx="89">
                  <c:v>B0DRDD3D14</c:v>
                </c:pt>
                <c:pt idx="90">
                  <c:v>B0DRDGQJ88</c:v>
                </c:pt>
                <c:pt idx="91">
                  <c:v>B0DSWHYY5Z</c:v>
                </c:pt>
                <c:pt idx="92">
                  <c:v>B0DSWJWG3V</c:v>
                </c:pt>
                <c:pt idx="93">
                  <c:v>B0DSWKD33H</c:v>
                </c:pt>
                <c:pt idx="94">
                  <c:v>B0DSWKKM92</c:v>
                </c:pt>
                <c:pt idx="95">
                  <c:v>B0F4DDT3QN</c:v>
                </c:pt>
                <c:pt idx="96">
                  <c:v>B0F4DHRLN8</c:v>
                </c:pt>
                <c:pt idx="97">
                  <c:v>B0F71RY7C4</c:v>
                </c:pt>
                <c:pt idx="98">
                  <c:v>B0FCML8S9H</c:v>
                </c:pt>
                <c:pt idx="99">
                  <c:v>B0FCMMFSCW</c:v>
                </c:pt>
                <c:pt idx="100">
                  <c:v>B0FCMMVN95</c:v>
                </c:pt>
                <c:pt idx="101">
                  <c:v>B0FGJWZ2FQ</c:v>
                </c:pt>
                <c:pt idx="102">
                  <c:v>B0FGJWZQGH</c:v>
                </c:pt>
                <c:pt idx="103">
                  <c:v>B0FGJY58J9</c:v>
                </c:pt>
                <c:pt idx="104">
                  <c:v>B0FGK1B341</c:v>
                </c:pt>
                <c:pt idx="105">
                  <c:v>B0FGPRKH6B</c:v>
                </c:pt>
                <c:pt idx="106">
                  <c:v>B0FGQC5YK3</c:v>
                </c:pt>
                <c:pt idx="107">
                  <c:v>B0FGQCX8NL</c:v>
                </c:pt>
                <c:pt idx="108">
                  <c:v>B0FJ2BZWXK</c:v>
                </c:pt>
                <c:pt idx="109">
                  <c:v>B0FJ2GXG5K</c:v>
                </c:pt>
                <c:pt idx="110">
                  <c:v>B0FJ2J1JL6</c:v>
                </c:pt>
                <c:pt idx="111">
                  <c:v>B0FJ2JBL4J</c:v>
                </c:pt>
                <c:pt idx="112">
                  <c:v>B0FJ2JHL43</c:v>
                </c:pt>
                <c:pt idx="113">
                  <c:v>B0FJ2K6919</c:v>
                </c:pt>
                <c:pt idx="114">
                  <c:v>B0FKTKGZZR</c:v>
                </c:pt>
                <c:pt idx="115">
                  <c:v>B0FKTLGWL1</c:v>
                </c:pt>
                <c:pt idx="116">
                  <c:v>B0FKTLR4VF</c:v>
                </c:pt>
                <c:pt idx="117">
                  <c:v>B0FKTM1FQH</c:v>
                </c:pt>
                <c:pt idx="118">
                  <c:v>B0FKTP5GJQ</c:v>
                </c:pt>
                <c:pt idx="119">
                  <c:v>B0FKTV5VTN</c:v>
                </c:pt>
                <c:pt idx="120">
                  <c:v>B0FKV4NSS2</c:v>
                </c:pt>
                <c:pt idx="121">
                  <c:v>B0FKV8QS9W</c:v>
                </c:pt>
                <c:pt idx="122">
                  <c:v>B0FKVRYRBG</c:v>
                </c:pt>
                <c:pt idx="123">
                  <c:v>B0FMD9C9PB</c:v>
                </c:pt>
                <c:pt idx="124">
                  <c:v>B0FMDM6QMV</c:v>
                </c:pt>
              </c:strCache>
            </c:strRef>
          </c:cat>
          <c:val>
            <c:numRef>
              <c:f>Pivot!$B$4:$B$129</c:f>
              <c:numCache>
                <c:formatCode>"₹"\ #,##0.00</c:formatCode>
                <c:ptCount val="125"/>
                <c:pt idx="0">
                  <c:v>1893.2199999999998</c:v>
                </c:pt>
                <c:pt idx="1">
                  <c:v>1316.0900000000001</c:v>
                </c:pt>
                <c:pt idx="2">
                  <c:v>64541.52</c:v>
                </c:pt>
                <c:pt idx="3">
                  <c:v>1249</c:v>
                </c:pt>
                <c:pt idx="4">
                  <c:v>1631.3600000000001</c:v>
                </c:pt>
                <c:pt idx="5">
                  <c:v>1489.84</c:v>
                </c:pt>
                <c:pt idx="6">
                  <c:v>4997.8500000000004</c:v>
                </c:pt>
                <c:pt idx="7">
                  <c:v>5074.5600000000004</c:v>
                </c:pt>
                <c:pt idx="8">
                  <c:v>2020.32</c:v>
                </c:pt>
                <c:pt idx="9">
                  <c:v>400.84</c:v>
                </c:pt>
                <c:pt idx="10">
                  <c:v>981.36</c:v>
                </c:pt>
                <c:pt idx="11">
                  <c:v>0</c:v>
                </c:pt>
                <c:pt idx="12">
                  <c:v>2336.4499999999998</c:v>
                </c:pt>
                <c:pt idx="13">
                  <c:v>2898.29</c:v>
                </c:pt>
                <c:pt idx="14">
                  <c:v>1114.4000000000001</c:v>
                </c:pt>
                <c:pt idx="15">
                  <c:v>0</c:v>
                </c:pt>
                <c:pt idx="16">
                  <c:v>190.68</c:v>
                </c:pt>
                <c:pt idx="17">
                  <c:v>6851.84</c:v>
                </c:pt>
                <c:pt idx="18">
                  <c:v>139.83000000000001</c:v>
                </c:pt>
                <c:pt idx="19">
                  <c:v>381.36</c:v>
                </c:pt>
                <c:pt idx="20">
                  <c:v>749.16</c:v>
                </c:pt>
                <c:pt idx="21">
                  <c:v>925</c:v>
                </c:pt>
                <c:pt idx="22">
                  <c:v>4095</c:v>
                </c:pt>
                <c:pt idx="23">
                  <c:v>409</c:v>
                </c:pt>
                <c:pt idx="24">
                  <c:v>1227</c:v>
                </c:pt>
                <c:pt idx="25">
                  <c:v>1798</c:v>
                </c:pt>
                <c:pt idx="26">
                  <c:v>5394</c:v>
                </c:pt>
                <c:pt idx="27">
                  <c:v>8091</c:v>
                </c:pt>
                <c:pt idx="28">
                  <c:v>775</c:v>
                </c:pt>
                <c:pt idx="29">
                  <c:v>2369.4900000000002</c:v>
                </c:pt>
                <c:pt idx="30">
                  <c:v>58127.060000000005</c:v>
                </c:pt>
                <c:pt idx="31">
                  <c:v>1635.5900000000001</c:v>
                </c:pt>
                <c:pt idx="32">
                  <c:v>39344.03</c:v>
                </c:pt>
                <c:pt idx="33">
                  <c:v>495.77</c:v>
                </c:pt>
                <c:pt idx="34">
                  <c:v>1091.56</c:v>
                </c:pt>
                <c:pt idx="35">
                  <c:v>1886.43</c:v>
                </c:pt>
                <c:pt idx="36">
                  <c:v>0</c:v>
                </c:pt>
                <c:pt idx="37">
                  <c:v>3597</c:v>
                </c:pt>
                <c:pt idx="38">
                  <c:v>409</c:v>
                </c:pt>
                <c:pt idx="39">
                  <c:v>1779.6599999999999</c:v>
                </c:pt>
                <c:pt idx="40">
                  <c:v>299.14999999999998</c:v>
                </c:pt>
                <c:pt idx="41">
                  <c:v>1332.73</c:v>
                </c:pt>
                <c:pt idx="42">
                  <c:v>13615</c:v>
                </c:pt>
                <c:pt idx="43">
                  <c:v>754.26</c:v>
                </c:pt>
                <c:pt idx="44">
                  <c:v>444.07</c:v>
                </c:pt>
                <c:pt idx="45">
                  <c:v>218.64</c:v>
                </c:pt>
                <c:pt idx="46">
                  <c:v>225.42</c:v>
                </c:pt>
                <c:pt idx="47">
                  <c:v>132946.16999999998</c:v>
                </c:pt>
                <c:pt idx="48">
                  <c:v>16230.92</c:v>
                </c:pt>
                <c:pt idx="49">
                  <c:v>14686.84</c:v>
                </c:pt>
                <c:pt idx="50">
                  <c:v>30121.170000000002</c:v>
                </c:pt>
                <c:pt idx="51">
                  <c:v>80176.160000000003</c:v>
                </c:pt>
                <c:pt idx="52">
                  <c:v>20957.600000000002</c:v>
                </c:pt>
                <c:pt idx="53">
                  <c:v>39448.999999999993</c:v>
                </c:pt>
                <c:pt idx="54">
                  <c:v>5601.71</c:v>
                </c:pt>
                <c:pt idx="55">
                  <c:v>629594.88</c:v>
                </c:pt>
                <c:pt idx="56">
                  <c:v>44146.5</c:v>
                </c:pt>
                <c:pt idx="57">
                  <c:v>5589.84</c:v>
                </c:pt>
                <c:pt idx="58">
                  <c:v>1397.46</c:v>
                </c:pt>
                <c:pt idx="59">
                  <c:v>3176.28</c:v>
                </c:pt>
                <c:pt idx="60">
                  <c:v>2095.7600000000002</c:v>
                </c:pt>
                <c:pt idx="61">
                  <c:v>0</c:v>
                </c:pt>
                <c:pt idx="62">
                  <c:v>4193.22</c:v>
                </c:pt>
                <c:pt idx="63">
                  <c:v>0</c:v>
                </c:pt>
                <c:pt idx="64">
                  <c:v>15698</c:v>
                </c:pt>
                <c:pt idx="65">
                  <c:v>6536.28</c:v>
                </c:pt>
                <c:pt idx="66">
                  <c:v>32793.08</c:v>
                </c:pt>
                <c:pt idx="67">
                  <c:v>2225</c:v>
                </c:pt>
                <c:pt idx="68">
                  <c:v>18904.679999999997</c:v>
                </c:pt>
                <c:pt idx="69">
                  <c:v>6519.52</c:v>
                </c:pt>
                <c:pt idx="70">
                  <c:v>5211.67</c:v>
                </c:pt>
                <c:pt idx="71">
                  <c:v>757.62</c:v>
                </c:pt>
                <c:pt idx="72">
                  <c:v>10390.969999999999</c:v>
                </c:pt>
                <c:pt idx="73">
                  <c:v>4403.3900000000003</c:v>
                </c:pt>
                <c:pt idx="74">
                  <c:v>2269.5</c:v>
                </c:pt>
                <c:pt idx="75">
                  <c:v>9304.27</c:v>
                </c:pt>
                <c:pt idx="76">
                  <c:v>2591.21</c:v>
                </c:pt>
                <c:pt idx="77">
                  <c:v>0</c:v>
                </c:pt>
                <c:pt idx="78">
                  <c:v>5079.66</c:v>
                </c:pt>
                <c:pt idx="79">
                  <c:v>2072.92</c:v>
                </c:pt>
                <c:pt idx="80">
                  <c:v>11448.830000000002</c:v>
                </c:pt>
                <c:pt idx="81">
                  <c:v>6136.96</c:v>
                </c:pt>
                <c:pt idx="82">
                  <c:v>1377</c:v>
                </c:pt>
                <c:pt idx="83">
                  <c:v>1515.24</c:v>
                </c:pt>
                <c:pt idx="84">
                  <c:v>1977.72</c:v>
                </c:pt>
                <c:pt idx="85">
                  <c:v>1439.83</c:v>
                </c:pt>
                <c:pt idx="86">
                  <c:v>10876.97</c:v>
                </c:pt>
                <c:pt idx="87">
                  <c:v>7622.0399999999991</c:v>
                </c:pt>
                <c:pt idx="88">
                  <c:v>11000.32</c:v>
                </c:pt>
                <c:pt idx="89">
                  <c:v>28796.66</c:v>
                </c:pt>
                <c:pt idx="90">
                  <c:v>3078.99</c:v>
                </c:pt>
                <c:pt idx="91">
                  <c:v>0.01</c:v>
                </c:pt>
                <c:pt idx="92">
                  <c:v>327.42</c:v>
                </c:pt>
                <c:pt idx="93">
                  <c:v>7450.88</c:v>
                </c:pt>
                <c:pt idx="94">
                  <c:v>20178.16</c:v>
                </c:pt>
                <c:pt idx="95">
                  <c:v>2097</c:v>
                </c:pt>
                <c:pt idx="96">
                  <c:v>1398</c:v>
                </c:pt>
                <c:pt idx="97">
                  <c:v>699</c:v>
                </c:pt>
                <c:pt idx="98">
                  <c:v>3411</c:v>
                </c:pt>
                <c:pt idx="99">
                  <c:v>1516</c:v>
                </c:pt>
                <c:pt idx="100">
                  <c:v>12886</c:v>
                </c:pt>
                <c:pt idx="101">
                  <c:v>5536.98</c:v>
                </c:pt>
                <c:pt idx="102">
                  <c:v>2960.02</c:v>
                </c:pt>
                <c:pt idx="103">
                  <c:v>9616.5999999999985</c:v>
                </c:pt>
                <c:pt idx="104">
                  <c:v>3725</c:v>
                </c:pt>
                <c:pt idx="105">
                  <c:v>1016.1</c:v>
                </c:pt>
                <c:pt idx="106">
                  <c:v>1520.34</c:v>
                </c:pt>
                <c:pt idx="107">
                  <c:v>422.03</c:v>
                </c:pt>
                <c:pt idx="108">
                  <c:v>28714.499999999975</c:v>
                </c:pt>
                <c:pt idx="109">
                  <c:v>26284.979999999978</c:v>
                </c:pt>
                <c:pt idx="110">
                  <c:v>24080.169999999973</c:v>
                </c:pt>
                <c:pt idx="111">
                  <c:v>26510.789999999972</c:v>
                </c:pt>
                <c:pt idx="112">
                  <c:v>31526.249999999971</c:v>
                </c:pt>
                <c:pt idx="113">
                  <c:v>12078.81</c:v>
                </c:pt>
                <c:pt idx="114">
                  <c:v>1845.6100000000001</c:v>
                </c:pt>
                <c:pt idx="115">
                  <c:v>846.61</c:v>
                </c:pt>
                <c:pt idx="116">
                  <c:v>2965.25</c:v>
                </c:pt>
                <c:pt idx="117">
                  <c:v>2031.3600000000001</c:v>
                </c:pt>
                <c:pt idx="118">
                  <c:v>26681</c:v>
                </c:pt>
                <c:pt idx="119">
                  <c:v>1694.07</c:v>
                </c:pt>
                <c:pt idx="120">
                  <c:v>1694.07</c:v>
                </c:pt>
                <c:pt idx="121">
                  <c:v>11858.48</c:v>
                </c:pt>
                <c:pt idx="122">
                  <c:v>0</c:v>
                </c:pt>
                <c:pt idx="123">
                  <c:v>9990</c:v>
                </c:pt>
                <c:pt idx="124">
                  <c:v>7992</c:v>
                </c:pt>
              </c:numCache>
            </c:numRef>
          </c:val>
          <c:extLst>
            <c:ext xmlns:c16="http://schemas.microsoft.com/office/drawing/2014/chart" uri="{C3380CC4-5D6E-409C-BE32-E72D297353CC}">
              <c16:uniqueId val="{00000000-97E8-46BE-8488-61397F5E6121}"/>
            </c:ext>
          </c:extLst>
        </c:ser>
        <c:dLbls>
          <c:showLegendKey val="0"/>
          <c:showVal val="0"/>
          <c:showCatName val="0"/>
          <c:showSerName val="0"/>
          <c:showPercent val="0"/>
          <c:showBubbleSize val="0"/>
        </c:dLbls>
        <c:gapWidth val="219"/>
        <c:overlap val="-27"/>
        <c:axId val="916954959"/>
        <c:axId val="916955919"/>
      </c:barChart>
      <c:catAx>
        <c:axId val="9169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55919"/>
        <c:crosses val="autoZero"/>
        <c:auto val="1"/>
        <c:lblAlgn val="ctr"/>
        <c:lblOffset val="100"/>
        <c:noMultiLvlLbl val="0"/>
      </c:catAx>
      <c:valAx>
        <c:axId val="91695591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91695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Product</a:t>
            </a:r>
            <a:r>
              <a:rPr lang="en-US" b="1" baseline="0">
                <a:solidFill>
                  <a:sysClr val="windowText" lastClr="000000"/>
                </a:solidFill>
              </a:rPr>
              <a:t>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Pivot!$G$4:$G$26</c:f>
              <c:strCache>
                <c:ptCount val="22"/>
                <c:pt idx="0">
                  <c:v>Body Care</c:v>
                </c:pt>
                <c:pt idx="1">
                  <c:v>Body Wash and Shower Gel</c:v>
                </c:pt>
                <c:pt idx="2">
                  <c:v>Copper Bottle</c:v>
                </c:pt>
                <c:pt idx="3">
                  <c:v>Day Cream</c:v>
                </c:pt>
                <c:pt idx="4">
                  <c:v>Drawer Organizer</c:v>
                </c:pt>
                <c:pt idx="5">
                  <c:v>Face Care</c:v>
                </c:pt>
                <c:pt idx="6">
                  <c:v>Face Sunscreen</c:v>
                </c:pt>
                <c:pt idx="7">
                  <c:v>Face Wash and Cleanser</c:v>
                </c:pt>
                <c:pt idx="8">
                  <c:v>Footwear Organizer</c:v>
                </c:pt>
                <c:pt idx="9">
                  <c:v>Lip Balm</c:v>
                </c:pt>
                <c:pt idx="10">
                  <c:v>Multipurpose Organizer</c:v>
                </c:pt>
                <c:pt idx="11">
                  <c:v>Organisers</c:v>
                </c:pt>
                <c:pt idx="12">
                  <c:v>Pet Organizer</c:v>
                </c:pt>
                <c:pt idx="13">
                  <c:v>Resin</c:v>
                </c:pt>
                <c:pt idx="14">
                  <c:v>Roll-Ons</c:v>
                </c:pt>
                <c:pt idx="15">
                  <c:v>Shoe Rack</c:v>
                </c:pt>
                <c:pt idx="16">
                  <c:v>Steel Bottle</c:v>
                </c:pt>
                <c:pt idx="17">
                  <c:v>Stretch Film</c:v>
                </c:pt>
                <c:pt idx="18">
                  <c:v>Tape</c:v>
                </c:pt>
                <c:pt idx="19">
                  <c:v>Travel Organizer</c:v>
                </c:pt>
                <c:pt idx="20">
                  <c:v>Wardrobe Organizer</c:v>
                </c:pt>
                <c:pt idx="21">
                  <c:v>#N/A</c:v>
                </c:pt>
              </c:strCache>
            </c:strRef>
          </c:cat>
          <c:val>
            <c:numRef>
              <c:f>Pivot!$H$4:$H$26</c:f>
              <c:numCache>
                <c:formatCode>"₹"\ #,##0.00</c:formatCode>
                <c:ptCount val="22"/>
                <c:pt idx="0">
                  <c:v>49018.7</c:v>
                </c:pt>
                <c:pt idx="1">
                  <c:v>5274.1800000000021</c:v>
                </c:pt>
                <c:pt idx="2">
                  <c:v>18232</c:v>
                </c:pt>
                <c:pt idx="3">
                  <c:v>3276.1400000000012</c:v>
                </c:pt>
                <c:pt idx="4">
                  <c:v>27956.47</c:v>
                </c:pt>
                <c:pt idx="5">
                  <c:v>77440</c:v>
                </c:pt>
                <c:pt idx="6">
                  <c:v>3510.1500000000015</c:v>
                </c:pt>
                <c:pt idx="7">
                  <c:v>3978.1700000000019</c:v>
                </c:pt>
                <c:pt idx="8">
                  <c:v>895102.98999999987</c:v>
                </c:pt>
                <c:pt idx="9">
                  <c:v>2954</c:v>
                </c:pt>
                <c:pt idx="10">
                  <c:v>40917.449999999997</c:v>
                </c:pt>
                <c:pt idx="11">
                  <c:v>2398</c:v>
                </c:pt>
                <c:pt idx="12">
                  <c:v>26681</c:v>
                </c:pt>
                <c:pt idx="13">
                  <c:v>117090.94</c:v>
                </c:pt>
                <c:pt idx="14">
                  <c:v>3744.1600000000017</c:v>
                </c:pt>
                <c:pt idx="15">
                  <c:v>111006.02</c:v>
                </c:pt>
                <c:pt idx="16">
                  <c:v>41165</c:v>
                </c:pt>
                <c:pt idx="17">
                  <c:v>44146.5</c:v>
                </c:pt>
                <c:pt idx="18">
                  <c:v>24171.05999999999</c:v>
                </c:pt>
                <c:pt idx="19">
                  <c:v>1016.1</c:v>
                </c:pt>
                <c:pt idx="20">
                  <c:v>215713.30000000002</c:v>
                </c:pt>
                <c:pt idx="21">
                  <c:v>67750.83</c:v>
                </c:pt>
              </c:numCache>
            </c:numRef>
          </c:val>
          <c:extLst>
            <c:ext xmlns:c16="http://schemas.microsoft.com/office/drawing/2014/chart" uri="{C3380CC4-5D6E-409C-BE32-E72D297353CC}">
              <c16:uniqueId val="{00000000-9F0E-470E-84DD-FA34090BDF0A}"/>
            </c:ext>
          </c:extLst>
        </c:ser>
        <c:dLbls>
          <c:dLblPos val="outEnd"/>
          <c:showLegendKey val="0"/>
          <c:showVal val="1"/>
          <c:showCatName val="0"/>
          <c:showSerName val="0"/>
          <c:showPercent val="0"/>
          <c:showBubbleSize val="0"/>
        </c:dLbls>
        <c:gapWidth val="182"/>
        <c:axId val="919332543"/>
        <c:axId val="922594335"/>
      </c:barChart>
      <c:catAx>
        <c:axId val="91933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94335"/>
        <c:crosses val="autoZero"/>
        <c:auto val="1"/>
        <c:lblAlgn val="ctr"/>
        <c:lblOffset val="100"/>
        <c:noMultiLvlLbl val="0"/>
      </c:catAx>
      <c:valAx>
        <c:axId val="922594335"/>
        <c:scaling>
          <c:orientation val="minMax"/>
        </c:scaling>
        <c:delete val="1"/>
        <c:axPos val="b"/>
        <c:numFmt formatCode="&quot;₹&quot;\ #,##0.00" sourceLinked="1"/>
        <c:majorTickMark val="none"/>
        <c:minorTickMark val="none"/>
        <c:tickLblPos val="nextTo"/>
        <c:crossAx val="9193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2706386870024189"/>
          <c:y val="0.18897959733001296"/>
          <c:w val="0.45245346841373479"/>
          <c:h val="0.7522372488533563"/>
        </c:manualLayout>
      </c:layout>
      <c:pieChart>
        <c:varyColors val="1"/>
        <c:ser>
          <c:idx val="0"/>
          <c:order val="0"/>
          <c:tx>
            <c:strRef>
              <c:f>Pivot!$L$3</c:f>
              <c:strCache>
                <c:ptCount val="1"/>
                <c:pt idx="0">
                  <c:v>Sum of Units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0A-4177-9ECA-998649DC9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0A-4177-9ECA-998649DC9E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0A-4177-9ECA-998649DC9E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0A-4177-9ECA-998649DC9E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0A-4177-9ECA-998649DC9E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0A-4177-9ECA-998649DC9E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Pivot!$K$4:$K$10</c:f>
              <c:strCache>
                <c:ptCount val="6"/>
                <c:pt idx="0">
                  <c:v>BOXJOY</c:v>
                </c:pt>
                <c:pt idx="1">
                  <c:v>EB-Everything Beautiful</c:v>
                </c:pt>
                <c:pt idx="2">
                  <c:v>Ingco</c:v>
                </c:pt>
                <c:pt idx="3">
                  <c:v>PROWL</c:v>
                </c:pt>
                <c:pt idx="4">
                  <c:v>PROWL by Tiger Shroff</c:v>
                </c:pt>
                <c:pt idx="5">
                  <c:v>TRENDIKRAFT</c:v>
                </c:pt>
              </c:strCache>
            </c:strRef>
          </c:cat>
          <c:val>
            <c:numRef>
              <c:f>Pivot!$L$4:$L$10</c:f>
              <c:numCache>
                <c:formatCode>General</c:formatCode>
                <c:ptCount val="6"/>
                <c:pt idx="0">
                  <c:v>1072</c:v>
                </c:pt>
                <c:pt idx="1">
                  <c:v>118</c:v>
                </c:pt>
                <c:pt idx="2">
                  <c:v>20</c:v>
                </c:pt>
                <c:pt idx="3">
                  <c:v>630</c:v>
                </c:pt>
                <c:pt idx="4">
                  <c:v>94</c:v>
                </c:pt>
                <c:pt idx="5">
                  <c:v>458</c:v>
                </c:pt>
              </c:numCache>
            </c:numRef>
          </c:val>
          <c:extLst>
            <c:ext xmlns:c16="http://schemas.microsoft.com/office/drawing/2014/chart" uri="{C3380CC4-5D6E-409C-BE32-E72D297353CC}">
              <c16:uniqueId val="{00000000-54B2-488D-A290-83FD5A7B7063}"/>
            </c:ext>
          </c:extLst>
        </c:ser>
        <c:ser>
          <c:idx val="1"/>
          <c:order val="1"/>
          <c:tx>
            <c:strRef>
              <c:f>Pivot!$M$3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240A-4177-9ECA-998649DC9E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240A-4177-9ECA-998649DC9E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240A-4177-9ECA-998649DC9E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240A-4177-9ECA-998649DC9E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240A-4177-9ECA-998649DC9E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240A-4177-9ECA-998649DC9E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Pivot!$K$4:$K$10</c:f>
              <c:strCache>
                <c:ptCount val="6"/>
                <c:pt idx="0">
                  <c:v>BOXJOY</c:v>
                </c:pt>
                <c:pt idx="1">
                  <c:v>EB-Everything Beautiful</c:v>
                </c:pt>
                <c:pt idx="2">
                  <c:v>Ingco</c:v>
                </c:pt>
                <c:pt idx="3">
                  <c:v>PROWL</c:v>
                </c:pt>
                <c:pt idx="4">
                  <c:v>PROWL by Tiger Shroff</c:v>
                </c:pt>
                <c:pt idx="5">
                  <c:v>TRENDIKRAFT</c:v>
                </c:pt>
              </c:strCache>
            </c:strRef>
          </c:cat>
          <c:val>
            <c:numRef>
              <c:f>Pivot!$M$4:$M$10</c:f>
              <c:numCache>
                <c:formatCode>"₹"\ #,##0.00</c:formatCode>
                <c:ptCount val="6"/>
                <c:pt idx="0">
                  <c:v>1320791.33</c:v>
                </c:pt>
                <c:pt idx="1">
                  <c:v>59397</c:v>
                </c:pt>
                <c:pt idx="2">
                  <c:v>67750.83</c:v>
                </c:pt>
                <c:pt idx="3">
                  <c:v>126458.69999999998</c:v>
                </c:pt>
                <c:pt idx="4">
                  <c:v>22736.799999999974</c:v>
                </c:pt>
                <c:pt idx="5">
                  <c:v>185408.49999999997</c:v>
                </c:pt>
              </c:numCache>
            </c:numRef>
          </c:val>
          <c:extLst>
            <c:ext xmlns:c16="http://schemas.microsoft.com/office/drawing/2014/chart" uri="{C3380CC4-5D6E-409C-BE32-E72D297353CC}">
              <c16:uniqueId val="{00000002-54B2-488D-A290-83FD5A7B70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SKU</a:t>
            </a:r>
            <a:r>
              <a:rPr lang="en-IN" b="1" baseline="0">
                <a:solidFill>
                  <a:sysClr val="windowText" lastClr="000000"/>
                </a:solidFill>
              </a:rPr>
              <a:t> ID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Pivot!$O$4:$O$147</c:f>
              <c:strCache>
                <c:ptCount val="143"/>
                <c:pt idx="0">
                  <c:v>BJDZ0001-PETR007</c:v>
                </c:pt>
                <c:pt idx="1">
                  <c:v>BJDZ0002-PETR016-FBA</c:v>
                </c:pt>
                <c:pt idx="2">
                  <c:v>BJDZ0003-PETR025</c:v>
                </c:pt>
                <c:pt idx="3">
                  <c:v>BJDZ0004-PETRE8G</c:v>
                </c:pt>
                <c:pt idx="4">
                  <c:v>BJFZ0008</c:v>
                </c:pt>
                <c:pt idx="5">
                  <c:v>BJFZ0008-PPWW12S-CLOTHRACK</c:v>
                </c:pt>
                <c:pt idx="6">
                  <c:v>BJFZ0009</c:v>
                </c:pt>
                <c:pt idx="7">
                  <c:v>BJFZ0009-PPWT12S-CLOTHRACK</c:v>
                </c:pt>
                <c:pt idx="8">
                  <c:v>BJFZ0010</c:v>
                </c:pt>
                <c:pt idx="9">
                  <c:v>BJFZ0010-PPBT12S-CLOTHRACK</c:v>
                </c:pt>
                <c:pt idx="10">
                  <c:v>BJFZ0011</c:v>
                </c:pt>
                <c:pt idx="11">
                  <c:v>BJFZ0011-PPWW8S-CLOTHRACK</c:v>
                </c:pt>
                <c:pt idx="12">
                  <c:v>BJFZ0012</c:v>
                </c:pt>
                <c:pt idx="13">
                  <c:v>BJFZ0013</c:v>
                </c:pt>
                <c:pt idx="14">
                  <c:v>BJFZ0013-PPBT8S-CLOTHRACK</c:v>
                </c:pt>
                <c:pt idx="15">
                  <c:v>BJFZ0014</c:v>
                </c:pt>
                <c:pt idx="16">
                  <c:v>BJFZ0014-PPWW5S-CLOTHRACK</c:v>
                </c:pt>
                <c:pt idx="17">
                  <c:v>BJFZ0015</c:v>
                </c:pt>
                <c:pt idx="18">
                  <c:v>BJFZ0015-PPWT5S-CLOTHRACK</c:v>
                </c:pt>
                <c:pt idx="19">
                  <c:v>BJFZ0016</c:v>
                </c:pt>
                <c:pt idx="20">
                  <c:v>BJFZ0016-PPBT5S-CLOTHRACK</c:v>
                </c:pt>
                <c:pt idx="21">
                  <c:v>BJMZ00011-PPWT08S</c:v>
                </c:pt>
                <c:pt idx="22">
                  <c:v>BJMZ0001-PFBKD06S</c:v>
                </c:pt>
                <c:pt idx="23">
                  <c:v>BJMZ0002-MMBKF06S-BC</c:v>
                </c:pt>
                <c:pt idx="24">
                  <c:v>BJMZ0003-MMWHF06S-BC</c:v>
                </c:pt>
                <c:pt idx="25">
                  <c:v>BJMZ0003-MMWHF06S-PS</c:v>
                </c:pt>
                <c:pt idx="26">
                  <c:v>BJMZ0006-PPBT02S</c:v>
                </c:pt>
                <c:pt idx="27">
                  <c:v>BJMZ0007-MMBKV04S-CR</c:v>
                </c:pt>
                <c:pt idx="28">
                  <c:v>BJMZ0008-MMWHV04S-CR</c:v>
                </c:pt>
                <c:pt idx="29">
                  <c:v>BJMZ0009-MMBKH05S</c:v>
                </c:pt>
                <c:pt idx="30">
                  <c:v>BJMZ0010-MMWHH05S</c:v>
                </c:pt>
                <c:pt idx="31">
                  <c:v>BJPZ0001-MMBKLP-FBA</c:v>
                </c:pt>
                <c:pt idx="32">
                  <c:v>BJTZ0001-POWH07P</c:v>
                </c:pt>
                <c:pt idx="33">
                  <c:v>BJWZ0003-POLG17G-FBA</c:v>
                </c:pt>
                <c:pt idx="34">
                  <c:v>BJWZ0004-POLG13G-FBA</c:v>
                </c:pt>
                <c:pt idx="35">
                  <c:v>BJWZ0008-PVTRSTL-P1</c:v>
                </c:pt>
                <c:pt idx="36">
                  <c:v>BJWZ0008-PVTRSTL-P2</c:v>
                </c:pt>
                <c:pt idx="37">
                  <c:v>BJWZ0008-PVTRSTL-P4</c:v>
                </c:pt>
                <c:pt idx="38">
                  <c:v>BJWZ0008-PVTRSTL-P6</c:v>
                </c:pt>
                <c:pt idx="39">
                  <c:v>BJWZ0010-OXGYSTL-P1</c:v>
                </c:pt>
                <c:pt idx="40">
                  <c:v>BJWZ0010-OXGYSTL-P2-FBA</c:v>
                </c:pt>
                <c:pt idx="41">
                  <c:v>BJWZ0010-OXGYSTL-P4-FBA</c:v>
                </c:pt>
                <c:pt idx="42">
                  <c:v>BJWZ0010-OXGYSTL-P6-FBA</c:v>
                </c:pt>
                <c:pt idx="43">
                  <c:v>BJWZ0012-PCLGSTL-P1</c:v>
                </c:pt>
                <c:pt idx="44">
                  <c:v>BJWZ0012-PCLGSTL-P2</c:v>
                </c:pt>
                <c:pt idx="45">
                  <c:v>BJWZ0012-PCLGSTL-P4</c:v>
                </c:pt>
                <c:pt idx="46">
                  <c:v>BJWZ0012-PCLGSTL-P6</c:v>
                </c:pt>
                <c:pt idx="47">
                  <c:v>BJWZ0014-PVTR24L-FBA</c:v>
                </c:pt>
                <c:pt idx="48">
                  <c:v>BJWZ0015-PVTR66L</c:v>
                </c:pt>
                <c:pt idx="49">
                  <c:v>BJWZ0016-PVTR110</c:v>
                </c:pt>
                <c:pt idx="50">
                  <c:v>BJWZ0017-POLG24L-FBA</c:v>
                </c:pt>
                <c:pt idx="51">
                  <c:v>BJWZ0018-POLG66L</c:v>
                </c:pt>
                <c:pt idx="52">
                  <c:v>BJWZ0019-POLG110-FBA</c:v>
                </c:pt>
                <c:pt idx="53">
                  <c:v>BJWZ0021-PCLG66L</c:v>
                </c:pt>
                <c:pt idx="54">
                  <c:v>BJWZ0022-PCLG110-FBA</c:v>
                </c:pt>
                <c:pt idx="55">
                  <c:v>BJWZ0026-VBTRMLJ-FBA</c:v>
                </c:pt>
                <c:pt idx="56">
                  <c:v>BJWZ0027-VBTRMP3-FBA</c:v>
                </c:pt>
                <c:pt idx="57">
                  <c:v>BJWZ0028-VBTRLP3-FBA</c:v>
                </c:pt>
                <c:pt idx="58">
                  <c:v>BJWZ0029-VBTRJP3-FBA</c:v>
                </c:pt>
                <c:pt idx="59">
                  <c:v>BJWZ0030-POBG6B</c:v>
                </c:pt>
                <c:pt idx="60">
                  <c:v>BJWZ0031-POBG8B</c:v>
                </c:pt>
                <c:pt idx="61">
                  <c:v>BJWZ0032-VBTRLP6-FBA</c:v>
                </c:pt>
                <c:pt idx="62">
                  <c:v>BJWZ0033-VBTRJP6-FBA</c:v>
                </c:pt>
                <c:pt idx="63">
                  <c:v>BJWZ0034-VBTRC12-FBA</c:v>
                </c:pt>
                <c:pt idx="64">
                  <c:v>BJWZ0035-VBTRC20-FBA</c:v>
                </c:pt>
                <c:pt idx="65">
                  <c:v>BOXJOY-2BT-1D</c:v>
                </c:pt>
                <c:pt idx="66">
                  <c:v>BOXJOY-2BT-1D-CLOTHRACK</c:v>
                </c:pt>
                <c:pt idx="67">
                  <c:v>BOXJOY-2WT-1D</c:v>
                </c:pt>
                <c:pt idx="68">
                  <c:v>BXOYRGNR111373162</c:v>
                </c:pt>
                <c:pt idx="69">
                  <c:v>BXOYSHRC111339955</c:v>
                </c:pt>
                <c:pt idx="70">
                  <c:v>BXOYSHRC111339958</c:v>
                </c:pt>
                <c:pt idx="71">
                  <c:v>BXOYSHRC111339960</c:v>
                </c:pt>
                <c:pt idx="72">
                  <c:v>BXOYSHRC111339962</c:v>
                </c:pt>
                <c:pt idx="73">
                  <c:v>BXOYSHRC111339964</c:v>
                </c:pt>
                <c:pt idx="74">
                  <c:v>BXOYSHRC111339966</c:v>
                </c:pt>
                <c:pt idx="75">
                  <c:v>BXOYSHRC111339971</c:v>
                </c:pt>
                <c:pt idx="76">
                  <c:v>EB-FUNKY-1L V1</c:v>
                </c:pt>
                <c:pt idx="77">
                  <c:v>EB-Seamless-Classic V1 FBA</c:v>
                </c:pt>
                <c:pt idx="78">
                  <c:v>EB-Seamless-Funky Flower V1 FBA</c:v>
                </c:pt>
                <c:pt idx="79">
                  <c:v>EB-Seamless-Marble Design V1</c:v>
                </c:pt>
                <c:pt idx="80">
                  <c:v>EB-Seamless-Smooth Grey V1 FBA</c:v>
                </c:pt>
                <c:pt idx="81">
                  <c:v>EB-SS-BM-750ml-P1-FBA</c:v>
                </c:pt>
                <c:pt idx="82">
                  <c:v>EB-SS-MA-750ml-P1-FBA</c:v>
                </c:pt>
                <c:pt idx="83">
                  <c:v>EB-SS-SG-750ml-P1-FBA</c:v>
                </c:pt>
                <c:pt idx="84">
                  <c:v>EB-Steel Bottle-Modern Art-1L-P1 V1</c:v>
                </c:pt>
                <c:pt idx="85">
                  <c:v>EB-Steel Bottle-Modern Art-1L-P1 V1 FBA</c:v>
                </c:pt>
                <c:pt idx="86">
                  <c:v>EB-Steel Bottle-Smooth Black-1L-P1 V1</c:v>
                </c:pt>
                <c:pt idx="87">
                  <c:v>EB-Steel Bottle-Smooth Black-1L-P1 V1FBA</c:v>
                </c:pt>
                <c:pt idx="88">
                  <c:v>EB-Steel Bottle-Smooth Grey-1L-P2 V1 FBA</c:v>
                </c:pt>
                <c:pt idx="89">
                  <c:v>EB-Steel Bottle-Smooth Grey-750ml-P1 V1</c:v>
                </c:pt>
                <c:pt idx="90">
                  <c:v>EB-SteelBottle-SmoothBlack-750ml-P1V1FBA</c:v>
                </c:pt>
                <c:pt idx="91">
                  <c:v>EB-Steel-Funky Flower-750ml-P1 V1-FBA</c:v>
                </c:pt>
                <c:pt idx="92">
                  <c:v>EB-Tower-Marble Design-FBA</c:v>
                </c:pt>
                <c:pt idx="93">
                  <c:v>EB-Tower-Smooth Grey V1-FBA</c:v>
                </c:pt>
                <c:pt idx="94">
                  <c:v>PRBCBW001-250-P1</c:v>
                </c:pt>
                <c:pt idx="95">
                  <c:v>PRBCBW001-250-P1-FBA</c:v>
                </c:pt>
                <c:pt idx="96">
                  <c:v>PRBCUR001-40-P1</c:v>
                </c:pt>
                <c:pt idx="97">
                  <c:v>PRBCUR001-40-P1-FBA</c:v>
                </c:pt>
                <c:pt idx="98">
                  <c:v>PRFCFC001-50-P1-FBA</c:v>
                </c:pt>
                <c:pt idx="99">
                  <c:v>PRFCFW001-100-P1-FBA</c:v>
                </c:pt>
                <c:pt idx="100">
                  <c:v>PRFCLB001-04-P1</c:v>
                </c:pt>
                <c:pt idx="101">
                  <c:v>PRFCSS001-50-P1</c:v>
                </c:pt>
                <c:pt idx="102">
                  <c:v>PRFCSS001-50-P1-FBA</c:v>
                </c:pt>
                <c:pt idx="103">
                  <c:v>PTISBWSG115557266</c:v>
                </c:pt>
                <c:pt idx="104">
                  <c:v>PTISDYCR115557863</c:v>
                </c:pt>
                <c:pt idx="105">
                  <c:v>PTISFCSS115557862</c:v>
                </c:pt>
                <c:pt idx="106">
                  <c:v>PTISFCWH115557861</c:v>
                </c:pt>
                <c:pt idx="107">
                  <c:v>PTISLPBL115557860</c:v>
                </c:pt>
                <c:pt idx="108">
                  <c:v>PTISRLON115557864</c:v>
                </c:pt>
                <c:pt idx="109">
                  <c:v>TK-RESIN-21-150-ALPHABETCHARM-FBA</c:v>
                </c:pt>
                <c:pt idx="110">
                  <c:v>TK-RESIN-21-150-JEWELKEYCHAIN-FBA</c:v>
                </c:pt>
                <c:pt idx="111">
                  <c:v>TK-RESIN-21-150-TWINCOASTER-FBA</c:v>
                </c:pt>
                <c:pt idx="112">
                  <c:v>TK-RESIN-21-150-ULTIMATE</c:v>
                </c:pt>
                <c:pt idx="113">
                  <c:v>TK-RESIN-21-150-ULTIMATE-FBA</c:v>
                </c:pt>
                <c:pt idx="114">
                  <c:v>TK-RESINKIT-21-150</c:v>
                </c:pt>
                <c:pt idx="115">
                  <c:v>TK-RESINKIT-21-1500</c:v>
                </c:pt>
                <c:pt idx="116">
                  <c:v>TK-RESINKIT-21-300-FBA</c:v>
                </c:pt>
                <c:pt idx="117">
                  <c:v>TK-RESINKIT-21-750</c:v>
                </c:pt>
                <c:pt idx="118">
                  <c:v>TK-RESINKIT-31-1200-FBA</c:v>
                </c:pt>
                <c:pt idx="119">
                  <c:v>TK-RESINKIT-31-400</c:v>
                </c:pt>
                <c:pt idx="120">
                  <c:v>TK-SW-4INCH-P1-FBA</c:v>
                </c:pt>
                <c:pt idx="121">
                  <c:v>TK-TAPE-ACRYLIC-5M-12MM-2MM</c:v>
                </c:pt>
                <c:pt idx="122">
                  <c:v>TK-TAPE-ALUMINIUM-3M-2INCH</c:v>
                </c:pt>
                <c:pt idx="123">
                  <c:v>TK-TAPE-ALUMINIUM-5M-2INCH</c:v>
                </c:pt>
                <c:pt idx="124">
                  <c:v>TK-TAPE-ANTISKID-5M-50MM-BLACK-FBA</c:v>
                </c:pt>
                <c:pt idx="125">
                  <c:v>TK-TAPE-ANTISKID-5M-50MM-GLOW-FBA</c:v>
                </c:pt>
                <c:pt idx="126">
                  <c:v>TK-TAPE-ANTISKID-5M-50MM-TRANS-FBA</c:v>
                </c:pt>
                <c:pt idx="127">
                  <c:v>TK-TAPE-ANTISKID-5M-50MM-YL-BLACK-FBA</c:v>
                </c:pt>
                <c:pt idx="128">
                  <c:v>TK-TAPE-BOPP-BROWN-65M-2INCH-P2</c:v>
                </c:pt>
                <c:pt idx="129">
                  <c:v>TK-TAPE-BOPP-TRANS-65M-2INCH-P2</c:v>
                </c:pt>
                <c:pt idx="130">
                  <c:v>TK-TAPE-BOPP-TRANS-65M-3INCH-P1</c:v>
                </c:pt>
                <c:pt idx="131">
                  <c:v>TK-TAPE-DUCT-25M-48MM</c:v>
                </c:pt>
                <c:pt idx="132">
                  <c:v>TK-TAPE-ELECTRICAL-6M-17MM-PACK6</c:v>
                </c:pt>
                <c:pt idx="133">
                  <c:v>TK-TAPE-FLOORMARKING-ZEBRA-15M-2INCH</c:v>
                </c:pt>
                <c:pt idx="134">
                  <c:v>TK-TAPE-KRAFTPAPER-50M-2INCH</c:v>
                </c:pt>
                <c:pt idx="135">
                  <c:v>TK-TAPE-MASKING-20M-12MM-PACK1</c:v>
                </c:pt>
                <c:pt idx="136">
                  <c:v>TK-TAPE-MASKING-20M-24MM-PACK1</c:v>
                </c:pt>
                <c:pt idx="137">
                  <c:v>TK-TAPE-TISSUE-50M-1INCH</c:v>
                </c:pt>
                <c:pt idx="138">
                  <c:v>TK-TAPE-TISSUE-50M-1INCH-PACK2</c:v>
                </c:pt>
                <c:pt idx="139">
                  <c:v>TK-TAPE-VASTU-BLUE-4INCH-15MTR</c:v>
                </c:pt>
                <c:pt idx="140">
                  <c:v>TK-TAPE-VASTU-GREEN-4INCH-15MTR</c:v>
                </c:pt>
                <c:pt idx="141">
                  <c:v>TK-TAPE-VASTU-WHITE-4INCH-15MTR</c:v>
                </c:pt>
                <c:pt idx="142">
                  <c:v>#N/A</c:v>
                </c:pt>
              </c:strCache>
            </c:strRef>
          </c:cat>
          <c:val>
            <c:numRef>
              <c:f>Pivot!$P$4:$P$147</c:f>
              <c:numCache>
                <c:formatCode>"₹"\ #,##0.00</c:formatCode>
                <c:ptCount val="143"/>
                <c:pt idx="0">
                  <c:v>327.42</c:v>
                </c:pt>
                <c:pt idx="1">
                  <c:v>20178.16</c:v>
                </c:pt>
                <c:pt idx="2">
                  <c:v>7450.88</c:v>
                </c:pt>
                <c:pt idx="3">
                  <c:v>0.01</c:v>
                </c:pt>
                <c:pt idx="4">
                  <c:v>20957.600000000002</c:v>
                </c:pt>
                <c:pt idx="5">
                  <c:v>2095.7600000000002</c:v>
                </c:pt>
                <c:pt idx="6">
                  <c:v>14671.170000000002</c:v>
                </c:pt>
                <c:pt idx="7">
                  <c:v>4193.22</c:v>
                </c:pt>
                <c:pt idx="8">
                  <c:v>94321.17</c:v>
                </c:pt>
                <c:pt idx="9">
                  <c:v>15698</c:v>
                </c:pt>
                <c:pt idx="10">
                  <c:v>12711.84</c:v>
                </c:pt>
                <c:pt idx="11">
                  <c:v>0</c:v>
                </c:pt>
                <c:pt idx="12">
                  <c:v>6355.92</c:v>
                </c:pt>
                <c:pt idx="13">
                  <c:v>68326.14</c:v>
                </c:pt>
                <c:pt idx="14">
                  <c:v>3176.28</c:v>
                </c:pt>
                <c:pt idx="15">
                  <c:v>5601.71</c:v>
                </c:pt>
                <c:pt idx="16">
                  <c:v>1397.46</c:v>
                </c:pt>
                <c:pt idx="17">
                  <c:v>37699.999999999993</c:v>
                </c:pt>
                <c:pt idx="18">
                  <c:v>0</c:v>
                </c:pt>
                <c:pt idx="19">
                  <c:v>598112.88</c:v>
                </c:pt>
                <c:pt idx="20">
                  <c:v>5589.84</c:v>
                </c:pt>
                <c:pt idx="21">
                  <c:v>1694.07</c:v>
                </c:pt>
                <c:pt idx="22">
                  <c:v>2965.25</c:v>
                </c:pt>
                <c:pt idx="23">
                  <c:v>11858.48</c:v>
                </c:pt>
                <c:pt idx="24">
                  <c:v>1694.07</c:v>
                </c:pt>
                <c:pt idx="25">
                  <c:v>0</c:v>
                </c:pt>
                <c:pt idx="26">
                  <c:v>2031.3600000000001</c:v>
                </c:pt>
                <c:pt idx="27">
                  <c:v>9990</c:v>
                </c:pt>
                <c:pt idx="28">
                  <c:v>7992</c:v>
                </c:pt>
                <c:pt idx="29">
                  <c:v>846.61</c:v>
                </c:pt>
                <c:pt idx="30">
                  <c:v>1845.6100000000001</c:v>
                </c:pt>
                <c:pt idx="31">
                  <c:v>26681</c:v>
                </c:pt>
                <c:pt idx="32">
                  <c:v>1016.1</c:v>
                </c:pt>
                <c:pt idx="33">
                  <c:v>11448.830000000002</c:v>
                </c:pt>
                <c:pt idx="34">
                  <c:v>2072.92</c:v>
                </c:pt>
                <c:pt idx="35">
                  <c:v>1515.24</c:v>
                </c:pt>
                <c:pt idx="36">
                  <c:v>5211.67</c:v>
                </c:pt>
                <c:pt idx="37">
                  <c:v>6136.96</c:v>
                </c:pt>
                <c:pt idx="38">
                  <c:v>7622.0399999999991</c:v>
                </c:pt>
                <c:pt idx="39">
                  <c:v>757.62</c:v>
                </c:pt>
                <c:pt idx="40">
                  <c:v>2591.21</c:v>
                </c:pt>
                <c:pt idx="41">
                  <c:v>30395.08</c:v>
                </c:pt>
                <c:pt idx="42">
                  <c:v>10876.97</c:v>
                </c:pt>
                <c:pt idx="43">
                  <c:v>0</c:v>
                </c:pt>
                <c:pt idx="44">
                  <c:v>1977.72</c:v>
                </c:pt>
                <c:pt idx="45">
                  <c:v>2269.5</c:v>
                </c:pt>
                <c:pt idx="46">
                  <c:v>5079.66</c:v>
                </c:pt>
                <c:pt idx="47">
                  <c:v>10390.969999999999</c:v>
                </c:pt>
                <c:pt idx="48">
                  <c:v>9304.27</c:v>
                </c:pt>
                <c:pt idx="49">
                  <c:v>4403.3900000000003</c:v>
                </c:pt>
                <c:pt idx="50">
                  <c:v>18904.679999999997</c:v>
                </c:pt>
                <c:pt idx="51">
                  <c:v>6519.52</c:v>
                </c:pt>
                <c:pt idx="52">
                  <c:v>1377</c:v>
                </c:pt>
                <c:pt idx="53">
                  <c:v>1439.83</c:v>
                </c:pt>
                <c:pt idx="54">
                  <c:v>2225</c:v>
                </c:pt>
                <c:pt idx="55">
                  <c:v>6536.28</c:v>
                </c:pt>
                <c:pt idx="56">
                  <c:v>3078.99</c:v>
                </c:pt>
                <c:pt idx="57">
                  <c:v>11000.32</c:v>
                </c:pt>
                <c:pt idx="58">
                  <c:v>28796.66</c:v>
                </c:pt>
                <c:pt idx="59">
                  <c:v>422.03</c:v>
                </c:pt>
                <c:pt idx="60">
                  <c:v>1520.34</c:v>
                </c:pt>
                <c:pt idx="61">
                  <c:v>3725</c:v>
                </c:pt>
                <c:pt idx="62">
                  <c:v>9616.5999999999985</c:v>
                </c:pt>
                <c:pt idx="63">
                  <c:v>2960.02</c:v>
                </c:pt>
                <c:pt idx="64">
                  <c:v>5536.98</c:v>
                </c:pt>
                <c:pt idx="65">
                  <c:v>2097</c:v>
                </c:pt>
                <c:pt idx="66">
                  <c:v>699</c:v>
                </c:pt>
                <c:pt idx="67">
                  <c:v>1398</c:v>
                </c:pt>
                <c:pt idx="68">
                  <c:v>2398</c:v>
                </c:pt>
                <c:pt idx="69">
                  <c:v>1975</c:v>
                </c:pt>
                <c:pt idx="70">
                  <c:v>1749</c:v>
                </c:pt>
                <c:pt idx="71">
                  <c:v>31482</c:v>
                </c:pt>
                <c:pt idx="72">
                  <c:v>9875</c:v>
                </c:pt>
                <c:pt idx="73">
                  <c:v>38625</c:v>
                </c:pt>
                <c:pt idx="74">
                  <c:v>11850.02</c:v>
                </c:pt>
                <c:pt idx="75">
                  <c:v>15450</c:v>
                </c:pt>
                <c:pt idx="76">
                  <c:v>0</c:v>
                </c:pt>
                <c:pt idx="77">
                  <c:v>775</c:v>
                </c:pt>
                <c:pt idx="78">
                  <c:v>8091</c:v>
                </c:pt>
                <c:pt idx="79">
                  <c:v>925</c:v>
                </c:pt>
                <c:pt idx="80">
                  <c:v>5394</c:v>
                </c:pt>
                <c:pt idx="81">
                  <c:v>1516</c:v>
                </c:pt>
                <c:pt idx="82">
                  <c:v>3411</c:v>
                </c:pt>
                <c:pt idx="83">
                  <c:v>12886</c:v>
                </c:pt>
                <c:pt idx="84">
                  <c:v>1167</c:v>
                </c:pt>
                <c:pt idx="85">
                  <c:v>12448</c:v>
                </c:pt>
                <c:pt idx="86">
                  <c:v>2274</c:v>
                </c:pt>
                <c:pt idx="87">
                  <c:v>1323</c:v>
                </c:pt>
                <c:pt idx="88">
                  <c:v>4095</c:v>
                </c:pt>
                <c:pt idx="89">
                  <c:v>409</c:v>
                </c:pt>
                <c:pt idx="90">
                  <c:v>409</c:v>
                </c:pt>
                <c:pt idx="91">
                  <c:v>1227</c:v>
                </c:pt>
                <c:pt idx="92">
                  <c:v>1249</c:v>
                </c:pt>
                <c:pt idx="93">
                  <c:v>1798</c:v>
                </c:pt>
                <c:pt idx="94">
                  <c:v>1023.42</c:v>
                </c:pt>
                <c:pt idx="95">
                  <c:v>25228.65</c:v>
                </c:pt>
                <c:pt idx="96">
                  <c:v>198.39</c:v>
                </c:pt>
                <c:pt idx="97">
                  <c:v>22568.239999999998</c:v>
                </c:pt>
                <c:pt idx="98">
                  <c:v>23008.84</c:v>
                </c:pt>
                <c:pt idx="99">
                  <c:v>20102</c:v>
                </c:pt>
                <c:pt idx="100">
                  <c:v>9124.81</c:v>
                </c:pt>
                <c:pt idx="101">
                  <c:v>596.39</c:v>
                </c:pt>
                <c:pt idx="102">
                  <c:v>24607.96</c:v>
                </c:pt>
                <c:pt idx="103">
                  <c:v>5274.1800000000021</c:v>
                </c:pt>
                <c:pt idx="104">
                  <c:v>3276.1400000000012</c:v>
                </c:pt>
                <c:pt idx="105">
                  <c:v>3510.1500000000015</c:v>
                </c:pt>
                <c:pt idx="106">
                  <c:v>3978.1700000000019</c:v>
                </c:pt>
                <c:pt idx="107">
                  <c:v>2954</c:v>
                </c:pt>
                <c:pt idx="108">
                  <c:v>3744.1600000000017</c:v>
                </c:pt>
                <c:pt idx="109">
                  <c:v>1635.5900000000001</c:v>
                </c:pt>
                <c:pt idx="110">
                  <c:v>2369.4900000000002</c:v>
                </c:pt>
                <c:pt idx="111">
                  <c:v>39344.03</c:v>
                </c:pt>
                <c:pt idx="112">
                  <c:v>56377.060000000005</c:v>
                </c:pt>
                <c:pt idx="113">
                  <c:v>1750</c:v>
                </c:pt>
                <c:pt idx="114">
                  <c:v>1631.3600000000001</c:v>
                </c:pt>
                <c:pt idx="115">
                  <c:v>5074.5600000000004</c:v>
                </c:pt>
                <c:pt idx="116">
                  <c:v>400.84</c:v>
                </c:pt>
                <c:pt idx="117">
                  <c:v>1489.84</c:v>
                </c:pt>
                <c:pt idx="118">
                  <c:v>4997.8500000000004</c:v>
                </c:pt>
                <c:pt idx="119">
                  <c:v>2020.32</c:v>
                </c:pt>
                <c:pt idx="120">
                  <c:v>44146.5</c:v>
                </c:pt>
                <c:pt idx="121">
                  <c:v>981.36</c:v>
                </c:pt>
                <c:pt idx="122">
                  <c:v>754.26</c:v>
                </c:pt>
                <c:pt idx="123">
                  <c:v>1114.4000000000001</c:v>
                </c:pt>
                <c:pt idx="124">
                  <c:v>2898.29</c:v>
                </c:pt>
                <c:pt idx="125">
                  <c:v>0</c:v>
                </c:pt>
                <c:pt idx="126">
                  <c:v>1779.6599999999999</c:v>
                </c:pt>
                <c:pt idx="127">
                  <c:v>299.14999999999998</c:v>
                </c:pt>
                <c:pt idx="128">
                  <c:v>749.16</c:v>
                </c:pt>
                <c:pt idx="129">
                  <c:v>381.36</c:v>
                </c:pt>
                <c:pt idx="130">
                  <c:v>139.83000000000001</c:v>
                </c:pt>
                <c:pt idx="131">
                  <c:v>2336.4499999999998</c:v>
                </c:pt>
                <c:pt idx="132">
                  <c:v>1332.73</c:v>
                </c:pt>
                <c:pt idx="133">
                  <c:v>0</c:v>
                </c:pt>
                <c:pt idx="134">
                  <c:v>190.68</c:v>
                </c:pt>
                <c:pt idx="135">
                  <c:v>1091.56</c:v>
                </c:pt>
                <c:pt idx="136">
                  <c:v>1886.43</c:v>
                </c:pt>
                <c:pt idx="137">
                  <c:v>6851.84</c:v>
                </c:pt>
                <c:pt idx="138">
                  <c:v>495.77</c:v>
                </c:pt>
                <c:pt idx="139">
                  <c:v>444.07</c:v>
                </c:pt>
                <c:pt idx="140">
                  <c:v>225.42</c:v>
                </c:pt>
                <c:pt idx="141">
                  <c:v>218.64</c:v>
                </c:pt>
                <c:pt idx="142">
                  <c:v>67750.83</c:v>
                </c:pt>
              </c:numCache>
            </c:numRef>
          </c:val>
          <c:extLst>
            <c:ext xmlns:c16="http://schemas.microsoft.com/office/drawing/2014/chart" uri="{C3380CC4-5D6E-409C-BE32-E72D297353CC}">
              <c16:uniqueId val="{00000000-D279-41E8-9CB3-6B438916BB97}"/>
            </c:ext>
          </c:extLst>
        </c:ser>
        <c:dLbls>
          <c:showLegendKey val="0"/>
          <c:showVal val="0"/>
          <c:showCatName val="0"/>
          <c:showSerName val="0"/>
          <c:showPercent val="0"/>
          <c:showBubbleSize val="0"/>
        </c:dLbls>
        <c:gapWidth val="219"/>
        <c:overlap val="-27"/>
        <c:axId val="193987695"/>
        <c:axId val="193988175"/>
      </c:barChart>
      <c:catAx>
        <c:axId val="1939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88175"/>
        <c:crosses val="autoZero"/>
        <c:auto val="1"/>
        <c:lblAlgn val="ctr"/>
        <c:lblOffset val="100"/>
        <c:noMultiLvlLbl val="0"/>
      </c:catAx>
      <c:valAx>
        <c:axId val="1939881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939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115507</xdr:colOff>
      <xdr:row>5</xdr:row>
      <xdr:rowOff>4926</xdr:rowOff>
    </xdr:from>
    <xdr:to>
      <xdr:col>2</xdr:col>
      <xdr:colOff>514666</xdr:colOff>
      <xdr:row>14</xdr:row>
      <xdr:rowOff>76637</xdr:rowOff>
    </xdr:to>
    <mc:AlternateContent xmlns:mc="http://schemas.openxmlformats.org/markup-compatibility/2006" xmlns:a14="http://schemas.microsoft.com/office/drawing/2010/main">
      <mc:Choice Requires="a14">
        <xdr:graphicFrame macro="">
          <xdr:nvGraphicFramePr>
            <xdr:cNvPr id="2" name="Date 1">
              <a:extLst>
                <a:ext uri="{FF2B5EF4-FFF2-40B4-BE49-F238E27FC236}">
                  <a16:creationId xmlns:a16="http://schemas.microsoft.com/office/drawing/2014/main" id="{2B42FC81-6C11-4426-8081-EE482883DE5C}"/>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15507" y="968765"/>
              <a:ext cx="1623802" cy="1806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20298</xdr:colOff>
      <xdr:row>4</xdr:row>
      <xdr:rowOff>181430</xdr:rowOff>
    </xdr:from>
    <xdr:to>
      <xdr:col>5</xdr:col>
      <xdr:colOff>317500</xdr:colOff>
      <xdr:row>17</xdr:row>
      <xdr:rowOff>54741</xdr:rowOff>
    </xdr:to>
    <mc:AlternateContent xmlns:mc="http://schemas.openxmlformats.org/markup-compatibility/2006" xmlns:a14="http://schemas.microsoft.com/office/drawing/2010/main">
      <mc:Choice Requires="a14">
        <xdr:graphicFrame macro="">
          <xdr:nvGraphicFramePr>
            <xdr:cNvPr id="3" name="ASIN 1">
              <a:extLst>
                <a:ext uri="{FF2B5EF4-FFF2-40B4-BE49-F238E27FC236}">
                  <a16:creationId xmlns:a16="http://schemas.microsoft.com/office/drawing/2014/main" id="{896ECC46-AD1D-4B96-94E3-EE81AC5544AA}"/>
                </a:ext>
              </a:extLst>
            </xdr:cNvPr>
            <xdr:cNvGraphicFramePr/>
          </xdr:nvGraphicFramePr>
          <xdr:xfrm>
            <a:off x="0" y="0"/>
            <a:ext cx="0" cy="0"/>
          </xdr:xfrm>
          <a:graphic>
            <a:graphicData uri="http://schemas.microsoft.com/office/drawing/2010/slicer">
              <sle:slicer xmlns:sle="http://schemas.microsoft.com/office/drawing/2010/slicer" name="ASIN 1"/>
            </a:graphicData>
          </a:graphic>
        </xdr:graphicFrame>
      </mc:Choice>
      <mc:Fallback xmlns="">
        <xdr:sp macro="" textlink="">
          <xdr:nvSpPr>
            <xdr:cNvPr id="0" name=""/>
            <xdr:cNvSpPr>
              <a:spLocks noTextEdit="1"/>
            </xdr:cNvSpPr>
          </xdr:nvSpPr>
          <xdr:spPr>
            <a:xfrm>
              <a:off x="1857262" y="984945"/>
              <a:ext cx="1372167" cy="2346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136056</xdr:colOff>
      <xdr:row>15</xdr:row>
      <xdr:rowOff>6935</xdr:rowOff>
    </xdr:from>
    <xdr:to>
      <xdr:col>2</xdr:col>
      <xdr:colOff>526782</xdr:colOff>
      <xdr:row>21</xdr:row>
      <xdr:rowOff>120431</xdr:rowOff>
    </xdr:to>
    <mc:AlternateContent xmlns:mc="http://schemas.openxmlformats.org/markup-compatibility/2006" xmlns:a14="http://schemas.microsoft.com/office/drawing/2010/main">
      <mc:Choice Requires="a14">
        <xdr:graphicFrame macro="">
          <xdr:nvGraphicFramePr>
            <xdr:cNvPr id="4" name="Source 1">
              <a:extLst>
                <a:ext uri="{FF2B5EF4-FFF2-40B4-BE49-F238E27FC236}">
                  <a16:creationId xmlns:a16="http://schemas.microsoft.com/office/drawing/2014/main" id="{72691EE9-C600-4F32-ADA4-053AB56E1D29}"/>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136056" y="2898453"/>
              <a:ext cx="1615369" cy="127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91910</xdr:colOff>
      <xdr:row>18</xdr:row>
      <xdr:rowOff>24409</xdr:rowOff>
    </xdr:from>
    <xdr:to>
      <xdr:col>10</xdr:col>
      <xdr:colOff>98535</xdr:colOff>
      <xdr:row>30</xdr:row>
      <xdr:rowOff>134063</xdr:rowOff>
    </xdr:to>
    <xdr:graphicFrame macro="">
      <xdr:nvGraphicFramePr>
        <xdr:cNvPr id="6" name="Chart 5">
          <a:extLst>
            <a:ext uri="{FF2B5EF4-FFF2-40B4-BE49-F238E27FC236}">
              <a16:creationId xmlns:a16="http://schemas.microsoft.com/office/drawing/2014/main" id="{3B289C03-F170-4F91-8FD4-CF656B7E3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549673</xdr:colOff>
      <xdr:row>4</xdr:row>
      <xdr:rowOff>173233</xdr:rowOff>
    </xdr:from>
    <xdr:to>
      <xdr:col>22</xdr:col>
      <xdr:colOff>598950</xdr:colOff>
      <xdr:row>17</xdr:row>
      <xdr:rowOff>76638</xdr:rowOff>
    </xdr:to>
    <xdr:graphicFrame macro="">
      <xdr:nvGraphicFramePr>
        <xdr:cNvPr id="7" name="Chart 6">
          <a:extLst>
            <a:ext uri="{FF2B5EF4-FFF2-40B4-BE49-F238E27FC236}">
              <a16:creationId xmlns:a16="http://schemas.microsoft.com/office/drawing/2014/main" id="{B01F10C8-4D50-4CDF-8697-0AAEA4962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262758</xdr:colOff>
      <xdr:row>17</xdr:row>
      <xdr:rowOff>184399</xdr:rowOff>
    </xdr:from>
    <xdr:to>
      <xdr:col>23</xdr:col>
      <xdr:colOff>21896</xdr:colOff>
      <xdr:row>30</xdr:row>
      <xdr:rowOff>107934</xdr:rowOff>
    </xdr:to>
    <xdr:graphicFrame macro="">
      <xdr:nvGraphicFramePr>
        <xdr:cNvPr id="8" name="Chart 7">
          <a:extLst>
            <a:ext uri="{FF2B5EF4-FFF2-40B4-BE49-F238E27FC236}">
              <a16:creationId xmlns:a16="http://schemas.microsoft.com/office/drawing/2014/main" id="{51B31442-0A58-4D9E-9A07-BDC73420C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175172</xdr:colOff>
      <xdr:row>22</xdr:row>
      <xdr:rowOff>21897</xdr:rowOff>
    </xdr:from>
    <xdr:to>
      <xdr:col>2</xdr:col>
      <xdr:colOff>394138</xdr:colOff>
      <xdr:row>25</xdr:row>
      <xdr:rowOff>142328</xdr:rowOff>
    </xdr:to>
    <xdr:sp macro="" textlink="$AI$20">
      <xdr:nvSpPr>
        <xdr:cNvPr id="10" name="Rectangle 9">
          <a:extLst>
            <a:ext uri="{FF2B5EF4-FFF2-40B4-BE49-F238E27FC236}">
              <a16:creationId xmlns:a16="http://schemas.microsoft.com/office/drawing/2014/main" id="{ACBCAE2D-3C94-F8CC-2CEC-12963F1C5D6F}"/>
            </a:ext>
          </a:extLst>
        </xdr:cNvPr>
        <xdr:cNvSpPr/>
      </xdr:nvSpPr>
      <xdr:spPr>
        <a:xfrm>
          <a:off x="175172" y="4116552"/>
          <a:ext cx="1445173" cy="67879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453BA77-6D14-44BD-BB02-C00489E68BB3}" type="TxLink">
            <a:rPr lang="en-US" sz="1800" b="1" i="0" u="none" strike="noStrike">
              <a:solidFill>
                <a:sysClr val="windowText" lastClr="000000"/>
              </a:solidFill>
              <a:latin typeface="Calibri"/>
              <a:ea typeface="Calibri"/>
              <a:cs typeface="Calibri"/>
            </a:rPr>
            <a:pPr algn="ctr"/>
            <a:t>1782543.16</a:t>
          </a:fld>
          <a:endParaRPr lang="en-IN" sz="1800" b="1">
            <a:solidFill>
              <a:sysClr val="windowText" lastClr="000000"/>
            </a:solidFill>
          </a:endParaRPr>
        </a:p>
      </xdr:txBody>
    </xdr:sp>
    <xdr:clientData/>
  </xdr:twoCellAnchor>
  <xdr:twoCellAnchor>
    <xdr:from>
      <xdr:col>0</xdr:col>
      <xdr:colOff>163348</xdr:colOff>
      <xdr:row>26</xdr:row>
      <xdr:rowOff>185245</xdr:rowOff>
    </xdr:from>
    <xdr:to>
      <xdr:col>2</xdr:col>
      <xdr:colOff>382314</xdr:colOff>
      <xdr:row>30</xdr:row>
      <xdr:rowOff>119555</xdr:rowOff>
    </xdr:to>
    <xdr:sp macro="" textlink="$AI$17">
      <xdr:nvSpPr>
        <xdr:cNvPr id="11" name="Rectangle 10">
          <a:extLst>
            <a:ext uri="{FF2B5EF4-FFF2-40B4-BE49-F238E27FC236}">
              <a16:creationId xmlns:a16="http://schemas.microsoft.com/office/drawing/2014/main" id="{1CDA4617-3AF4-4141-B32E-50CA74BD1285}"/>
            </a:ext>
          </a:extLst>
        </xdr:cNvPr>
        <xdr:cNvSpPr/>
      </xdr:nvSpPr>
      <xdr:spPr>
        <a:xfrm>
          <a:off x="163348" y="5024383"/>
          <a:ext cx="1445173" cy="678793"/>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43542D53-98B4-4856-9C40-C91079F9A1C7}" type="TxLink">
            <a:rPr lang="en-US" sz="2000" b="1" i="0" u="none" strike="noStrike">
              <a:solidFill>
                <a:srgbClr val="000000"/>
              </a:solidFill>
              <a:latin typeface="Calibri"/>
              <a:ea typeface="Calibri"/>
              <a:cs typeface="Calibri"/>
            </a:rPr>
            <a:pPr algn="ctr"/>
            <a:t>2392</a:t>
          </a:fld>
          <a:endParaRPr lang="en-IN" sz="2000" b="1"/>
        </a:p>
      </xdr:txBody>
    </xdr:sp>
    <xdr:clientData/>
  </xdr:twoCellAnchor>
  <xdr:twoCellAnchor>
    <xdr:from>
      <xdr:col>0</xdr:col>
      <xdr:colOff>186121</xdr:colOff>
      <xdr:row>22</xdr:row>
      <xdr:rowOff>54742</xdr:rowOff>
    </xdr:from>
    <xdr:to>
      <xdr:col>2</xdr:col>
      <xdr:colOff>383190</xdr:colOff>
      <xdr:row>24</xdr:row>
      <xdr:rowOff>0</xdr:rowOff>
    </xdr:to>
    <xdr:sp macro="" textlink="">
      <xdr:nvSpPr>
        <xdr:cNvPr id="12" name="Rectangle 11">
          <a:extLst>
            <a:ext uri="{FF2B5EF4-FFF2-40B4-BE49-F238E27FC236}">
              <a16:creationId xmlns:a16="http://schemas.microsoft.com/office/drawing/2014/main" id="{B9B78C84-CD9F-D381-0E2F-A8052361373A}"/>
            </a:ext>
          </a:extLst>
        </xdr:cNvPr>
        <xdr:cNvSpPr/>
      </xdr:nvSpPr>
      <xdr:spPr>
        <a:xfrm>
          <a:off x="186121" y="4149397"/>
          <a:ext cx="1423276" cy="3175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Revenue</a:t>
          </a:r>
        </a:p>
      </xdr:txBody>
    </xdr:sp>
    <xdr:clientData/>
  </xdr:twoCellAnchor>
  <xdr:twoCellAnchor>
    <xdr:from>
      <xdr:col>0</xdr:col>
      <xdr:colOff>186121</xdr:colOff>
      <xdr:row>27</xdr:row>
      <xdr:rowOff>10073</xdr:rowOff>
    </xdr:from>
    <xdr:to>
      <xdr:col>2</xdr:col>
      <xdr:colOff>385536</xdr:colOff>
      <xdr:row>28</xdr:row>
      <xdr:rowOff>141453</xdr:rowOff>
    </xdr:to>
    <xdr:sp macro="" textlink="">
      <xdr:nvSpPr>
        <xdr:cNvPr id="13" name="Rectangle 12">
          <a:extLst>
            <a:ext uri="{FF2B5EF4-FFF2-40B4-BE49-F238E27FC236}">
              <a16:creationId xmlns:a16="http://schemas.microsoft.com/office/drawing/2014/main" id="{0648D46D-AB18-4491-B09E-959245B5AEA1}"/>
            </a:ext>
          </a:extLst>
        </xdr:cNvPr>
        <xdr:cNvSpPr/>
      </xdr:nvSpPr>
      <xdr:spPr>
        <a:xfrm>
          <a:off x="186121" y="5214805"/>
          <a:ext cx="1424058" cy="32414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Units</a:t>
          </a:r>
        </a:p>
      </xdr:txBody>
    </xdr:sp>
    <xdr:clientData/>
  </xdr:twoCellAnchor>
  <xdr:twoCellAnchor>
    <xdr:from>
      <xdr:col>2</xdr:col>
      <xdr:colOff>532945</xdr:colOff>
      <xdr:row>0</xdr:row>
      <xdr:rowOff>189250</xdr:rowOff>
    </xdr:from>
    <xdr:to>
      <xdr:col>22</xdr:col>
      <xdr:colOff>591597</xdr:colOff>
      <xdr:row>4</xdr:row>
      <xdr:rowOff>73121</xdr:rowOff>
    </xdr:to>
    <xdr:sp macro="" textlink="">
      <xdr:nvSpPr>
        <xdr:cNvPr id="14" name="Rectangle: Rounded Corners 13">
          <a:extLst>
            <a:ext uri="{FF2B5EF4-FFF2-40B4-BE49-F238E27FC236}">
              <a16:creationId xmlns:a16="http://schemas.microsoft.com/office/drawing/2014/main" id="{7776D2B9-669E-4BB8-C403-23C1056EE947}"/>
            </a:ext>
          </a:extLst>
        </xdr:cNvPr>
        <xdr:cNvSpPr/>
      </xdr:nvSpPr>
      <xdr:spPr>
        <a:xfrm>
          <a:off x="1757588" y="189250"/>
          <a:ext cx="12134991" cy="654942"/>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800" b="1">
              <a:solidFill>
                <a:schemeClr val="tx1"/>
              </a:solidFill>
              <a:effectLst/>
              <a:latin typeface="+mn-lt"/>
              <a:ea typeface="+mn-ea"/>
              <a:cs typeface="+mn-cs"/>
            </a:rPr>
            <a:t>E-Commerce Sales</a:t>
          </a:r>
          <a:r>
            <a:rPr lang="en-IN" sz="2800" b="1" baseline="0">
              <a:solidFill>
                <a:schemeClr val="tx1"/>
              </a:solidFill>
              <a:effectLst/>
              <a:latin typeface="+mn-lt"/>
              <a:ea typeface="+mn-ea"/>
              <a:cs typeface="+mn-cs"/>
            </a:rPr>
            <a:t> &amp; </a:t>
          </a:r>
          <a:r>
            <a:rPr lang="en-IN" sz="2800" b="1">
              <a:solidFill>
                <a:schemeClr val="tx1"/>
              </a:solidFill>
              <a:effectLst/>
              <a:latin typeface="+mn-lt"/>
              <a:ea typeface="+mn-ea"/>
              <a:cs typeface="+mn-cs"/>
            </a:rPr>
            <a:t>Revenue Insights Dashboard</a:t>
          </a:r>
          <a:endParaRPr lang="en-IN" sz="2800" b="1">
            <a:solidFill>
              <a:schemeClr val="tx1"/>
            </a:solidFill>
            <a:effectLst/>
          </a:endParaRPr>
        </a:p>
      </xdr:txBody>
    </xdr:sp>
    <xdr:clientData/>
  </xdr:twoCellAnchor>
  <xdr:twoCellAnchor>
    <xdr:from>
      <xdr:col>0</xdr:col>
      <xdr:colOff>90714</xdr:colOff>
      <xdr:row>1</xdr:row>
      <xdr:rowOff>22678</xdr:rowOff>
    </xdr:from>
    <xdr:to>
      <xdr:col>2</xdr:col>
      <xdr:colOff>408213</xdr:colOff>
      <xdr:row>4</xdr:row>
      <xdr:rowOff>56696</xdr:rowOff>
    </xdr:to>
    <xdr:sp macro="" textlink="">
      <xdr:nvSpPr>
        <xdr:cNvPr id="9" name="Rectangle: Rounded Corners 8">
          <a:extLst>
            <a:ext uri="{FF2B5EF4-FFF2-40B4-BE49-F238E27FC236}">
              <a16:creationId xmlns:a16="http://schemas.microsoft.com/office/drawing/2014/main" id="{1A2CCF03-8206-0E66-7CC9-D21C60FD53F8}"/>
            </a:ext>
          </a:extLst>
        </xdr:cNvPr>
        <xdr:cNvSpPr/>
      </xdr:nvSpPr>
      <xdr:spPr>
        <a:xfrm>
          <a:off x="90714" y="215446"/>
          <a:ext cx="1542142" cy="612321"/>
        </a:xfrm>
        <a:prstGeom prst="roundRect">
          <a:avLst>
            <a:gd name="adj" fmla="val 16667"/>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226785</xdr:colOff>
      <xdr:row>0</xdr:row>
      <xdr:rowOff>136072</xdr:rowOff>
    </xdr:from>
    <xdr:to>
      <xdr:col>2</xdr:col>
      <xdr:colOff>170089</xdr:colOff>
      <xdr:row>4</xdr:row>
      <xdr:rowOff>102054</xdr:rowOff>
    </xdr:to>
    <xdr:pic>
      <xdr:nvPicPr>
        <xdr:cNvPr id="16" name="Graphic 15" descr="Box trolley">
          <a:extLst>
            <a:ext uri="{FF2B5EF4-FFF2-40B4-BE49-F238E27FC236}">
              <a16:creationId xmlns:a16="http://schemas.microsoft.com/office/drawing/2014/main" id="{56E748A0-5EB8-412B-E910-267FB81757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6785" y="136072"/>
          <a:ext cx="1167947" cy="737053"/>
        </a:xfrm>
        <a:prstGeom prst="rect">
          <a:avLst/>
        </a:prstGeom>
      </xdr:spPr>
    </xdr:pic>
    <xdr:clientData/>
  </xdr:twoCellAnchor>
  <xdr:twoCellAnchor>
    <xdr:from>
      <xdr:col>6</xdr:col>
      <xdr:colOff>106546</xdr:colOff>
      <xdr:row>4</xdr:row>
      <xdr:rowOff>175809</xdr:rowOff>
    </xdr:from>
    <xdr:to>
      <xdr:col>17</xdr:col>
      <xdr:colOff>328448</xdr:colOff>
      <xdr:row>17</xdr:row>
      <xdr:rowOff>99609</xdr:rowOff>
    </xdr:to>
    <xdr:graphicFrame macro="">
      <xdr:nvGraphicFramePr>
        <xdr:cNvPr id="5" name="Chart 4">
          <a:extLst>
            <a:ext uri="{FF2B5EF4-FFF2-40B4-BE49-F238E27FC236}">
              <a16:creationId xmlns:a16="http://schemas.microsoft.com/office/drawing/2014/main" id="{C095F899-A13E-4F11-A36B-60749B43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600075</xdr:colOff>
      <xdr:row>37</xdr:row>
      <xdr:rowOff>121709</xdr:rowOff>
    </xdr:from>
    <xdr:to>
      <xdr:col>12</xdr:col>
      <xdr:colOff>370416</xdr:colOff>
      <xdr:row>46</xdr:row>
      <xdr:rowOff>74084</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E0DCB150-520C-556D-431A-0DAB80F7236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077325" y="7170209"/>
              <a:ext cx="1834091"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466725</xdr:colOff>
      <xdr:row>40</xdr:row>
      <xdr:rowOff>26459</xdr:rowOff>
    </xdr:from>
    <xdr:to>
      <xdr:col>12</xdr:col>
      <xdr:colOff>846666</xdr:colOff>
      <xdr:row>53</xdr:row>
      <xdr:rowOff>74084</xdr:rowOff>
    </xdr:to>
    <mc:AlternateContent xmlns:mc="http://schemas.openxmlformats.org/markup-compatibility/2006" xmlns:a14="http://schemas.microsoft.com/office/drawing/2010/main">
      <mc:Choice Requires="a14">
        <xdr:graphicFrame macro="">
          <xdr:nvGraphicFramePr>
            <xdr:cNvPr id="3" name="ASIN">
              <a:extLst>
                <a:ext uri="{FF2B5EF4-FFF2-40B4-BE49-F238E27FC236}">
                  <a16:creationId xmlns:a16="http://schemas.microsoft.com/office/drawing/2014/main" id="{9C82651F-8603-72A9-14D9-7484D8AADCB7}"/>
                </a:ext>
              </a:extLst>
            </xdr:cNvPr>
            <xdr:cNvGraphicFramePr/>
          </xdr:nvGraphicFramePr>
          <xdr:xfrm>
            <a:off x="0" y="0"/>
            <a:ext cx="0" cy="0"/>
          </xdr:xfrm>
          <a:graphic>
            <a:graphicData uri="http://schemas.microsoft.com/office/drawing/2010/slicer">
              <sle:slicer xmlns:sle="http://schemas.microsoft.com/office/drawing/2010/slicer" name="ASIN"/>
            </a:graphicData>
          </a:graphic>
        </xdr:graphicFrame>
      </mc:Choice>
      <mc:Fallback xmlns="">
        <xdr:sp macro="" textlink="">
          <xdr:nvSpPr>
            <xdr:cNvPr id="0" name=""/>
            <xdr:cNvSpPr>
              <a:spLocks noTextEdit="1"/>
            </xdr:cNvSpPr>
          </xdr:nvSpPr>
          <xdr:spPr>
            <a:xfrm>
              <a:off x="9557808" y="7646459"/>
              <a:ext cx="1829858"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333375</xdr:colOff>
      <xdr:row>42</xdr:row>
      <xdr:rowOff>121710</xdr:rowOff>
    </xdr:from>
    <xdr:to>
      <xdr:col>13</xdr:col>
      <xdr:colOff>284692</xdr:colOff>
      <xdr:row>48</xdr:row>
      <xdr:rowOff>178860</xdr:rowOff>
    </xdr:to>
    <mc:AlternateContent xmlns:mc="http://schemas.openxmlformats.org/markup-compatibility/2006" xmlns:a14="http://schemas.microsoft.com/office/drawing/2010/main">
      <mc:Choice Requires="a14">
        <xdr:graphicFrame macro="">
          <xdr:nvGraphicFramePr>
            <xdr:cNvPr id="4" name="Source">
              <a:extLst>
                <a:ext uri="{FF2B5EF4-FFF2-40B4-BE49-F238E27FC236}">
                  <a16:creationId xmlns:a16="http://schemas.microsoft.com/office/drawing/2014/main" id="{9761F67C-E2D5-D716-99A5-4C488F959DDB}"/>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0038292" y="8122710"/>
              <a:ext cx="1824567"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23</xdr:row>
      <xdr:rowOff>184150</xdr:rowOff>
    </xdr:from>
    <xdr:to>
      <xdr:col>4</xdr:col>
      <xdr:colOff>497417</xdr:colOff>
      <xdr:row>38</xdr:row>
      <xdr:rowOff>69850</xdr:rowOff>
    </xdr:to>
    <xdr:graphicFrame macro="">
      <xdr:nvGraphicFramePr>
        <xdr:cNvPr id="5" name="Chart 4">
          <a:extLst>
            <a:ext uri="{FF2B5EF4-FFF2-40B4-BE49-F238E27FC236}">
              <a16:creationId xmlns:a16="http://schemas.microsoft.com/office/drawing/2014/main" id="{83B83A92-751A-BC10-B9D2-21DB39939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703791</xdr:colOff>
      <xdr:row>24</xdr:row>
      <xdr:rowOff>173568</xdr:rowOff>
    </xdr:from>
    <xdr:to>
      <xdr:col>7</xdr:col>
      <xdr:colOff>883708</xdr:colOff>
      <xdr:row>39</xdr:row>
      <xdr:rowOff>59268</xdr:rowOff>
    </xdr:to>
    <xdr:graphicFrame macro="">
      <xdr:nvGraphicFramePr>
        <xdr:cNvPr id="6" name="Chart 5">
          <a:extLst>
            <a:ext uri="{FF2B5EF4-FFF2-40B4-BE49-F238E27FC236}">
              <a16:creationId xmlns:a16="http://schemas.microsoft.com/office/drawing/2014/main" id="{EE4CCA13-F1C2-FA95-C5F8-55AF6C1C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227541</xdr:colOff>
      <xdr:row>24</xdr:row>
      <xdr:rowOff>141817</xdr:rowOff>
    </xdr:from>
    <xdr:to>
      <xdr:col>13</xdr:col>
      <xdr:colOff>63500</xdr:colOff>
      <xdr:row>36</xdr:row>
      <xdr:rowOff>10584</xdr:rowOff>
    </xdr:to>
    <xdr:graphicFrame macro="">
      <xdr:nvGraphicFramePr>
        <xdr:cNvPr id="7" name="Chart 6">
          <a:extLst>
            <a:ext uri="{FF2B5EF4-FFF2-40B4-BE49-F238E27FC236}">
              <a16:creationId xmlns:a16="http://schemas.microsoft.com/office/drawing/2014/main" id="{309974AF-3DB2-5EAB-2F4F-6AF526F88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597958</xdr:colOff>
      <xdr:row>26</xdr:row>
      <xdr:rowOff>131234</xdr:rowOff>
    </xdr:from>
    <xdr:to>
      <xdr:col>15</xdr:col>
      <xdr:colOff>746125</xdr:colOff>
      <xdr:row>41</xdr:row>
      <xdr:rowOff>16934</xdr:rowOff>
    </xdr:to>
    <xdr:graphicFrame macro="">
      <xdr:nvGraphicFramePr>
        <xdr:cNvPr id="8" name="Chart 7">
          <a:extLst>
            <a:ext uri="{FF2B5EF4-FFF2-40B4-BE49-F238E27FC236}">
              <a16:creationId xmlns:a16="http://schemas.microsoft.com/office/drawing/2014/main" id="{51EAF825-62D3-B960-E6F6-F966227BD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khi\OneDrive\Desktop\assignment\Ecom%20Business%20Analyst_Assignment_EBRPL\Assignment\Raw%20Data\SKU%20ID_Category_Myntra%20SKU%20Mapping.xlsx" TargetMode="External"/><Relationship Id="rId1" Type="http://schemas.openxmlformats.org/officeDocument/2006/relationships/externalLinkPath" Target="SKU%20ID_Category_Myntra%20SKU%20Mappin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ikhi\OneDrive\Desktop\assignment\Ecom%20Business%20Analyst_Assignment_EBRPL\Assignment\Raw%20Data\Combined%203P.xlsx" TargetMode="External"/><Relationship Id="rId1" Type="http://schemas.openxmlformats.org/officeDocument/2006/relationships/externalLinkPath" Target="Combined%203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1__2"/>
      <sheetName val="Table1 (2)"/>
      <sheetName val="Sheet1"/>
    </sheetNames>
    <sheetDataSet>
      <sheetData sheetId="0">
        <row r="1">
          <cell r="B1" t="str">
            <v>Myntra SKU ID</v>
          </cell>
          <cell r="C1" t="str">
            <v>ASIN</v>
          </cell>
          <cell r="D1" t="str">
            <v>Brand</v>
          </cell>
          <cell r="E1" t="str">
            <v>Product Category</v>
          </cell>
        </row>
        <row r="2">
          <cell r="B2" t="str">
            <v>BXOYSHRC111339969</v>
          </cell>
          <cell r="C2" t="str">
            <v>B0DL5TT3B1</v>
          </cell>
          <cell r="D2" t="str">
            <v>BOXJOY</v>
          </cell>
          <cell r="E2" t="str">
            <v>Footwear Organizer</v>
          </cell>
        </row>
        <row r="3">
          <cell r="B3" t="str">
            <v>BXOYSHRC111339971</v>
          </cell>
          <cell r="C3" t="str">
            <v>B0DL5S9NJK</v>
          </cell>
          <cell r="D3" t="str">
            <v>BOXJOY</v>
          </cell>
          <cell r="E3" t="str">
            <v>Footwear Organizer</v>
          </cell>
        </row>
        <row r="4">
          <cell r="B4" t="str">
            <v>BXOYSHRC111339964</v>
          </cell>
          <cell r="C4" t="str">
            <v>B0DL5Q78BV</v>
          </cell>
          <cell r="D4" t="str">
            <v>BOXJOY</v>
          </cell>
          <cell r="E4" t="str">
            <v>Footwear Organizer</v>
          </cell>
        </row>
        <row r="5">
          <cell r="B5" t="str">
            <v>BXOYSHRC111339955</v>
          </cell>
          <cell r="C5" t="str">
            <v>B0DL5S1HNX</v>
          </cell>
          <cell r="D5" t="str">
            <v>BOXJOY</v>
          </cell>
          <cell r="E5" t="str">
            <v>Footwear Organizer</v>
          </cell>
        </row>
        <row r="6">
          <cell r="B6" t="str">
            <v>BXOYSHRC111339962</v>
          </cell>
          <cell r="C6" t="str">
            <v>B0DL5RWSYM</v>
          </cell>
          <cell r="D6" t="str">
            <v>BOXJOY</v>
          </cell>
          <cell r="E6" t="str">
            <v>Footwear Organizer</v>
          </cell>
        </row>
        <row r="7">
          <cell r="B7" t="str">
            <v>BXOYSHRC111339966</v>
          </cell>
          <cell r="C7" t="str">
            <v>B0DL5SN9XJ</v>
          </cell>
          <cell r="D7" t="str">
            <v>BOXJOY</v>
          </cell>
          <cell r="E7" t="str">
            <v>Footwear Organizer</v>
          </cell>
        </row>
        <row r="8">
          <cell r="B8" t="str">
            <v>BXOYSHRC111339973</v>
          </cell>
          <cell r="C8" t="str">
            <v>B0DLVG2BFS</v>
          </cell>
          <cell r="D8" t="str">
            <v>BOXJOY</v>
          </cell>
          <cell r="E8" t="str">
            <v>Footwear Organizer</v>
          </cell>
        </row>
        <row r="9">
          <cell r="C9" t="str">
            <v>B0CG9ZC1WK</v>
          </cell>
          <cell r="D9" t="str">
            <v>TRENDIKRAFT</v>
          </cell>
          <cell r="E9" t="str">
            <v>Resin</v>
          </cell>
        </row>
        <row r="10">
          <cell r="B10" t="str">
            <v>BXOYSHRC111339958</v>
          </cell>
          <cell r="C10" t="str">
            <v>B0DLVF925Q</v>
          </cell>
          <cell r="D10" t="str">
            <v>BOXJOY</v>
          </cell>
          <cell r="E10" t="str">
            <v>Footwear Organizer</v>
          </cell>
        </row>
        <row r="11">
          <cell r="B11" t="str">
            <v>BXOYSHRC111339960</v>
          </cell>
          <cell r="C11" t="str">
            <v>B0DLVGWRVJ</v>
          </cell>
          <cell r="D11" t="str">
            <v>BOXJOY</v>
          </cell>
          <cell r="E11" t="str">
            <v>Footwear Organizer</v>
          </cell>
        </row>
        <row r="12">
          <cell r="C12" t="str">
            <v>B0CQJWCP1Q</v>
          </cell>
          <cell r="D12" t="str">
            <v>TRENDIKRAFT</v>
          </cell>
          <cell r="E12" t="str">
            <v>Resin</v>
          </cell>
        </row>
        <row r="13">
          <cell r="C13" t="str">
            <v>B0CQCSDMF3</v>
          </cell>
          <cell r="D13" t="str">
            <v>TRENDIKRAFT</v>
          </cell>
          <cell r="E13" t="str">
            <v>Resin</v>
          </cell>
        </row>
        <row r="14">
          <cell r="C14" t="str">
            <v>B0DQ5Q7MR5</v>
          </cell>
          <cell r="D14" t="str">
            <v>BOXJOY</v>
          </cell>
          <cell r="E14" t="str">
            <v>Footwear Organizer</v>
          </cell>
        </row>
        <row r="15">
          <cell r="C15" t="str">
            <v>B0DQ5SR3TV</v>
          </cell>
          <cell r="D15" t="str">
            <v>BOXJOY</v>
          </cell>
          <cell r="E15" t="str">
            <v>Footwear Organizer</v>
          </cell>
        </row>
        <row r="16">
          <cell r="C16" t="str">
            <v>B0DQ5TMTZV</v>
          </cell>
          <cell r="D16" t="str">
            <v>BOXJOY</v>
          </cell>
          <cell r="E16" t="str">
            <v>Footwear Organizer</v>
          </cell>
        </row>
        <row r="17">
          <cell r="C17" t="str">
            <v>B0DQ5RD863</v>
          </cell>
          <cell r="D17" t="str">
            <v>BOXJOY</v>
          </cell>
          <cell r="E17" t="str">
            <v>Footwear Organizer</v>
          </cell>
        </row>
        <row r="18">
          <cell r="C18" t="str">
            <v>B0DQ5LK5T9</v>
          </cell>
          <cell r="D18" t="str">
            <v>BOXJOY</v>
          </cell>
          <cell r="E18" t="str">
            <v>Footwear Organizer</v>
          </cell>
        </row>
        <row r="19">
          <cell r="C19" t="str">
            <v>B0DQ5PK895</v>
          </cell>
          <cell r="D19" t="str">
            <v>BOXJOY</v>
          </cell>
          <cell r="E19" t="str">
            <v>Footwear Organizer</v>
          </cell>
        </row>
        <row r="20">
          <cell r="C20" t="str">
            <v>B0DQ5MCP6Y</v>
          </cell>
          <cell r="D20" t="str">
            <v>BOXJOY</v>
          </cell>
          <cell r="E20" t="str">
            <v>Footwear Organizer</v>
          </cell>
        </row>
        <row r="21">
          <cell r="C21" t="str">
            <v>B0DQ5T31BF</v>
          </cell>
          <cell r="D21" t="str">
            <v>BOXJOY</v>
          </cell>
          <cell r="E21" t="str">
            <v>Footwear Organizer</v>
          </cell>
        </row>
        <row r="22">
          <cell r="C22" t="str">
            <v>B0DQ5KFMBQ</v>
          </cell>
          <cell r="D22" t="str">
            <v>BOXJOY</v>
          </cell>
          <cell r="E22" t="str">
            <v>Footwear Organizer</v>
          </cell>
        </row>
        <row r="23">
          <cell r="B23" t="str">
            <v>BXOYRGNR111373231</v>
          </cell>
          <cell r="C23" t="str">
            <v>B0DR9JFTPF</v>
          </cell>
          <cell r="D23" t="str">
            <v>BOXJOY</v>
          </cell>
          <cell r="E23" t="str">
            <v>Wardrobe Organizer</v>
          </cell>
        </row>
        <row r="24">
          <cell r="C24" t="str">
            <v>B0CG9TF4MK</v>
          </cell>
          <cell r="D24" t="str">
            <v>TRENDIKRAFT</v>
          </cell>
          <cell r="E24" t="str">
            <v>Resin</v>
          </cell>
        </row>
        <row r="25">
          <cell r="C25" t="str">
            <v>B0CQJWKMY8</v>
          </cell>
          <cell r="D25" t="str">
            <v>TRENDIKRAFT</v>
          </cell>
          <cell r="E25" t="str">
            <v>Resin</v>
          </cell>
        </row>
        <row r="26">
          <cell r="B26" t="str">
            <v>BXOYRGNR111373240</v>
          </cell>
          <cell r="C26" t="str">
            <v>B0DR9NWCKG</v>
          </cell>
          <cell r="D26" t="str">
            <v>BOXJOY</v>
          </cell>
          <cell r="E26" t="str">
            <v>Wardrobe Organizer</v>
          </cell>
        </row>
        <row r="27">
          <cell r="B27" t="str">
            <v>BXOYRGNR111373293</v>
          </cell>
          <cell r="C27" t="str">
            <v>B0DR9MVW7T</v>
          </cell>
          <cell r="D27" t="str">
            <v>BOXJOY</v>
          </cell>
          <cell r="E27" t="str">
            <v>Wardrobe Organizer</v>
          </cell>
        </row>
        <row r="28">
          <cell r="B28" t="str">
            <v>BXOYRGNR111373174</v>
          </cell>
          <cell r="C28" t="str">
            <v>B0DR9K9F2S</v>
          </cell>
          <cell r="D28" t="str">
            <v>BOXJOY</v>
          </cell>
          <cell r="E28" t="str">
            <v>Wardrobe Organizer</v>
          </cell>
        </row>
        <row r="29">
          <cell r="B29" t="str">
            <v>BXOYRGNR111373251</v>
          </cell>
          <cell r="C29" t="str">
            <v>B0DR9JSKGQ</v>
          </cell>
          <cell r="D29" t="str">
            <v>BOXJOY</v>
          </cell>
          <cell r="E29" t="str">
            <v>Wardrobe Organizer</v>
          </cell>
        </row>
        <row r="30">
          <cell r="B30" t="str">
            <v>BXOYRGNR111373220</v>
          </cell>
          <cell r="C30" t="str">
            <v>B0DR9L29BG</v>
          </cell>
          <cell r="D30" t="str">
            <v>BOXJOY</v>
          </cell>
          <cell r="E30" t="str">
            <v>Wardrobe Organizer</v>
          </cell>
        </row>
        <row r="31">
          <cell r="C31" t="str">
            <v>B0CG9VWGBT</v>
          </cell>
          <cell r="D31" t="str">
            <v>TRENDIKRAFT</v>
          </cell>
          <cell r="E31" t="str">
            <v>Resin</v>
          </cell>
        </row>
        <row r="32">
          <cell r="B32" t="str">
            <v>BXOYRGNR111373185</v>
          </cell>
          <cell r="C32" t="str">
            <v>B0DR9LHJ95</v>
          </cell>
          <cell r="D32" t="str">
            <v>BOXJOY</v>
          </cell>
          <cell r="E32" t="str">
            <v>Wardrobe Organizer</v>
          </cell>
        </row>
        <row r="33">
          <cell r="B33" t="str">
            <v>BXOYRGNR111373207</v>
          </cell>
          <cell r="C33" t="str">
            <v>B0DR9KS9JM</v>
          </cell>
          <cell r="D33" t="str">
            <v>BOXJOY</v>
          </cell>
          <cell r="E33" t="str">
            <v>Wardrobe Organizer</v>
          </cell>
        </row>
        <row r="34">
          <cell r="B34" t="str">
            <v>BXOYRGNR111373311</v>
          </cell>
          <cell r="C34" t="str">
            <v>B0DR9LNWY7</v>
          </cell>
          <cell r="D34" t="str">
            <v>BOXJOY</v>
          </cell>
          <cell r="E34" t="str">
            <v>Wardrobe Organizer</v>
          </cell>
        </row>
        <row r="35">
          <cell r="C35" t="str">
            <v>B0CQJWV4PD</v>
          </cell>
          <cell r="D35" t="str">
            <v>TRENDIKRAFT</v>
          </cell>
          <cell r="E35" t="str">
            <v>Resin</v>
          </cell>
        </row>
        <row r="36">
          <cell r="B36" t="str">
            <v>BXOYRGNR111373242</v>
          </cell>
          <cell r="C36" t="str">
            <v>B0DR9N7Q8F</v>
          </cell>
          <cell r="D36" t="str">
            <v>BOXJOY</v>
          </cell>
          <cell r="E36" t="str">
            <v>Wardrobe Organizer</v>
          </cell>
        </row>
        <row r="37">
          <cell r="B37" t="str">
            <v>BXOYRGNR111373196</v>
          </cell>
          <cell r="C37" t="str">
            <v>B0DR9LGNRD</v>
          </cell>
          <cell r="D37" t="str">
            <v>BOXJOY</v>
          </cell>
          <cell r="E37" t="str">
            <v>Wardrobe Organizer</v>
          </cell>
        </row>
        <row r="38">
          <cell r="B38" t="str">
            <v>BXOYRGNR111373209</v>
          </cell>
          <cell r="C38" t="str">
            <v>B0DR9LZH6P</v>
          </cell>
          <cell r="D38" t="str">
            <v>BOXJOY</v>
          </cell>
          <cell r="E38" t="str">
            <v>Wardrobe Organizer</v>
          </cell>
        </row>
        <row r="39">
          <cell r="B39" t="str">
            <v>BXOYRGNR110689180</v>
          </cell>
          <cell r="C39" t="str">
            <v>B0DR9KFG48</v>
          </cell>
          <cell r="D39" t="str">
            <v>BOXJOY</v>
          </cell>
          <cell r="E39" t="str">
            <v>Wardrobe Organizer</v>
          </cell>
        </row>
        <row r="40">
          <cell r="C40" t="str">
            <v>B0CG9XZS42</v>
          </cell>
          <cell r="D40" t="str">
            <v>TRENDIKRAFT</v>
          </cell>
          <cell r="E40" t="str">
            <v>Resin</v>
          </cell>
        </row>
        <row r="41">
          <cell r="B41" t="str">
            <v>BXOYRGNR111373315</v>
          </cell>
          <cell r="C41" t="str">
            <v>B0DR9LL896</v>
          </cell>
          <cell r="D41" t="str">
            <v>BOXJOY</v>
          </cell>
          <cell r="E41" t="str">
            <v>Wardrobe Organizer</v>
          </cell>
        </row>
        <row r="42">
          <cell r="B42" t="str">
            <v>BXOYRGNR111373162</v>
          </cell>
          <cell r="C42" t="str">
            <v>B0DR9HSWP3</v>
          </cell>
          <cell r="D42" t="str">
            <v>BOXJOY</v>
          </cell>
          <cell r="E42" t="str">
            <v>Wardrobe Organizer</v>
          </cell>
        </row>
        <row r="43">
          <cell r="B43" t="str">
            <v>BXOYRGNR111373304</v>
          </cell>
          <cell r="C43" t="str">
            <v>B0DR9P2H1V</v>
          </cell>
          <cell r="D43" t="str">
            <v>BOXJOY</v>
          </cell>
          <cell r="E43" t="str">
            <v>Wardrobe Organizer</v>
          </cell>
        </row>
        <row r="44">
          <cell r="B44" t="str">
            <v>BXOYRGNR111373261</v>
          </cell>
          <cell r="C44" t="str">
            <v>B0DR9MW2KT</v>
          </cell>
          <cell r="D44" t="str">
            <v>BOXJOY</v>
          </cell>
          <cell r="E44" t="str">
            <v>Wardrobe Organizer</v>
          </cell>
        </row>
        <row r="45">
          <cell r="C45" t="str">
            <v>B0CG9WX5YY</v>
          </cell>
          <cell r="D45" t="str">
            <v>TRENDIKRAFT</v>
          </cell>
          <cell r="E45" t="str">
            <v>Resin</v>
          </cell>
        </row>
        <row r="46">
          <cell r="C46" t="str">
            <v>B0CG9T2RQJ</v>
          </cell>
          <cell r="D46" t="str">
            <v>TRENDIKRAFT</v>
          </cell>
          <cell r="E46" t="str">
            <v>Resin</v>
          </cell>
        </row>
        <row r="47">
          <cell r="B47" t="str">
            <v>BXOYRGNR111373284</v>
          </cell>
          <cell r="C47" t="str">
            <v>B0DR9KDFXJ</v>
          </cell>
          <cell r="D47" t="str">
            <v>BOXJOY</v>
          </cell>
          <cell r="E47" t="str">
            <v>Wardrobe Organizer</v>
          </cell>
        </row>
        <row r="48">
          <cell r="B48" t="str">
            <v>BXOYRGNR111373275</v>
          </cell>
          <cell r="C48" t="str">
            <v>B0DR9MKR78</v>
          </cell>
          <cell r="D48" t="str">
            <v>BOXJOY</v>
          </cell>
          <cell r="E48" t="str">
            <v>Wardrobe Organizer</v>
          </cell>
        </row>
        <row r="49">
          <cell r="B49" t="str">
            <v>BXOYRGNR111373273</v>
          </cell>
          <cell r="C49" t="str">
            <v>B0DRCZSP6Q</v>
          </cell>
          <cell r="D49" t="str">
            <v>BOXJOY</v>
          </cell>
          <cell r="E49" t="str">
            <v>Wardrobe Organizer</v>
          </cell>
        </row>
        <row r="50">
          <cell r="B50" t="str">
            <v>BXOYRGNR113199852</v>
          </cell>
          <cell r="C50" t="str">
            <v>B0DR9MG4MS</v>
          </cell>
          <cell r="D50" t="str">
            <v>BOXJOY</v>
          </cell>
          <cell r="E50" t="str">
            <v>Wardrobe Organizer</v>
          </cell>
        </row>
        <row r="51">
          <cell r="B51" t="str">
            <v>BXOYRGNR113199863</v>
          </cell>
          <cell r="C51" t="str">
            <v>B0DR9MKPYZ</v>
          </cell>
          <cell r="D51" t="str">
            <v>BOXJOY</v>
          </cell>
          <cell r="E51" t="str">
            <v>Wardrobe Organizer</v>
          </cell>
        </row>
        <row r="52">
          <cell r="B52" t="str">
            <v>BXOYRGNR111981441</v>
          </cell>
          <cell r="C52" t="str">
            <v>B0DR9BGVDJ</v>
          </cell>
          <cell r="D52" t="str">
            <v>BOXJOY</v>
          </cell>
          <cell r="E52" t="str">
            <v>Wardrobe Organizer</v>
          </cell>
        </row>
        <row r="53">
          <cell r="C53" t="str">
            <v>B0CGJKKT68</v>
          </cell>
          <cell r="D53" t="str">
            <v>TRENDIKRAFT</v>
          </cell>
          <cell r="E53" t="str">
            <v>Tape</v>
          </cell>
        </row>
        <row r="54">
          <cell r="C54" t="str">
            <v>B0D6YXXQFN</v>
          </cell>
          <cell r="D54" t="str">
            <v>TRENDIKRAFT</v>
          </cell>
          <cell r="E54" t="str">
            <v>Tape</v>
          </cell>
        </row>
        <row r="55">
          <cell r="C55" t="str">
            <v>B0CGJH5C7Q</v>
          </cell>
          <cell r="D55" t="str">
            <v>TRENDIKRAFT</v>
          </cell>
          <cell r="E55" t="str">
            <v>Tape</v>
          </cell>
        </row>
        <row r="56">
          <cell r="C56" t="str">
            <v>B0CGJKMXHF</v>
          </cell>
          <cell r="D56" t="str">
            <v>TRENDIKRAFT</v>
          </cell>
          <cell r="E56" t="str">
            <v>Tape</v>
          </cell>
        </row>
        <row r="57">
          <cell r="C57" t="str">
            <v>B0D6NF4V43</v>
          </cell>
          <cell r="D57" t="str">
            <v>TRENDIKRAFT</v>
          </cell>
          <cell r="E57" t="str">
            <v>Tape</v>
          </cell>
        </row>
        <row r="58">
          <cell r="C58" t="str">
            <v>B0CGJJJ9RJ</v>
          </cell>
          <cell r="D58" t="str">
            <v>TRENDIKRAFT</v>
          </cell>
          <cell r="E58" t="str">
            <v>Tape</v>
          </cell>
        </row>
        <row r="59">
          <cell r="C59" t="str">
            <v>B0CGJYXQQX</v>
          </cell>
          <cell r="D59" t="str">
            <v>TRENDIKRAFT</v>
          </cell>
          <cell r="E59" t="str">
            <v>Tape</v>
          </cell>
        </row>
        <row r="60">
          <cell r="C60" t="str">
            <v>B0CGJQVYR2</v>
          </cell>
          <cell r="D60" t="str">
            <v>TRENDIKRAFT</v>
          </cell>
          <cell r="E60" t="str">
            <v>Tape</v>
          </cell>
        </row>
        <row r="61">
          <cell r="C61" t="str">
            <v>B0CGJHHFD3</v>
          </cell>
          <cell r="D61" t="str">
            <v>TRENDIKRAFT</v>
          </cell>
          <cell r="E61" t="str">
            <v>Tape</v>
          </cell>
        </row>
        <row r="62">
          <cell r="C62" t="str">
            <v>B0CGJJQRS1</v>
          </cell>
          <cell r="D62" t="str">
            <v>TRENDIKRAFT</v>
          </cell>
          <cell r="E62" t="str">
            <v>Tape</v>
          </cell>
        </row>
        <row r="63">
          <cell r="C63" t="str">
            <v>B0CGJQXTY5</v>
          </cell>
          <cell r="D63" t="str">
            <v>TRENDIKRAFT</v>
          </cell>
          <cell r="E63" t="str">
            <v>Tape</v>
          </cell>
        </row>
        <row r="64">
          <cell r="C64" t="str">
            <v>B0D6GRS5SK</v>
          </cell>
          <cell r="D64" t="str">
            <v>TRENDIKRAFT</v>
          </cell>
          <cell r="E64" t="str">
            <v>Tape</v>
          </cell>
        </row>
        <row r="65">
          <cell r="C65" t="str">
            <v>B0D6GS7ZDV</v>
          </cell>
          <cell r="D65" t="str">
            <v>TRENDIKRAFT</v>
          </cell>
          <cell r="E65" t="str">
            <v>Tape</v>
          </cell>
        </row>
        <row r="66">
          <cell r="C66" t="str">
            <v>B0D6GSWFX3</v>
          </cell>
          <cell r="D66" t="str">
            <v>TRENDIKRAFT</v>
          </cell>
          <cell r="E66" t="str">
            <v>Tape</v>
          </cell>
        </row>
        <row r="67">
          <cell r="C67" t="str">
            <v>B0DBZQ6L2S</v>
          </cell>
          <cell r="D67" t="str">
            <v>TRENDIKRAFT</v>
          </cell>
          <cell r="E67" t="str">
            <v>Tape</v>
          </cell>
        </row>
        <row r="68">
          <cell r="C68" t="str">
            <v>B0DBZLRJDX</v>
          </cell>
          <cell r="D68" t="str">
            <v>TRENDIKRAFT</v>
          </cell>
          <cell r="E68" t="str">
            <v>Tape</v>
          </cell>
        </row>
        <row r="69">
          <cell r="C69" t="str">
            <v>B0DBZN5RPW</v>
          </cell>
          <cell r="D69" t="str">
            <v>TRENDIKRAFT</v>
          </cell>
          <cell r="E69" t="str">
            <v>Tape</v>
          </cell>
        </row>
        <row r="70">
          <cell r="C70" t="str">
            <v>B0DBZL8YDM</v>
          </cell>
          <cell r="D70" t="str">
            <v>TRENDIKRAFT</v>
          </cell>
          <cell r="E70" t="str">
            <v>Tape</v>
          </cell>
        </row>
        <row r="71">
          <cell r="C71" t="str">
            <v>B0DBZNH23M</v>
          </cell>
          <cell r="D71" t="str">
            <v>TRENDIKRAFT</v>
          </cell>
          <cell r="E71" t="str">
            <v>Tape</v>
          </cell>
        </row>
        <row r="72">
          <cell r="C72" t="str">
            <v>B0CGJJB6WD</v>
          </cell>
          <cell r="D72" t="str">
            <v>TRENDIKRAFT</v>
          </cell>
          <cell r="E72" t="str">
            <v>Tape</v>
          </cell>
        </row>
        <row r="73">
          <cell r="C73" t="str">
            <v>B0CGJS4YPF</v>
          </cell>
          <cell r="D73" t="str">
            <v>TRENDIKRAFT</v>
          </cell>
          <cell r="E73" t="str">
            <v>Tape</v>
          </cell>
        </row>
        <row r="74">
          <cell r="C74" t="str">
            <v>B0CGJHWRJL</v>
          </cell>
          <cell r="D74" t="str">
            <v>TRENDIKRAFT</v>
          </cell>
          <cell r="E74" t="str">
            <v>Tape</v>
          </cell>
        </row>
        <row r="75">
          <cell r="C75" t="str">
            <v>B0CGT4V35W</v>
          </cell>
          <cell r="D75" t="str">
            <v>TRENDIKRAFT</v>
          </cell>
          <cell r="E75" t="str">
            <v>Tape</v>
          </cell>
        </row>
        <row r="76">
          <cell r="C76" t="str">
            <v>B0CGTD4KVC</v>
          </cell>
          <cell r="D76" t="str">
            <v>TRENDIKRAFT</v>
          </cell>
          <cell r="E76" t="str">
            <v>Tape</v>
          </cell>
        </row>
        <row r="77">
          <cell r="C77" t="str">
            <v>B0CGTP1KTR</v>
          </cell>
          <cell r="D77" t="str">
            <v>TRENDIKRAFT</v>
          </cell>
          <cell r="E77" t="str">
            <v>Tape</v>
          </cell>
        </row>
        <row r="78">
          <cell r="C78" t="str">
            <v>B0CGT98MYW</v>
          </cell>
          <cell r="D78" t="str">
            <v>TRENDIKRAFT</v>
          </cell>
          <cell r="E78" t="str">
            <v>Tape</v>
          </cell>
        </row>
        <row r="79">
          <cell r="C79" t="str">
            <v>B0CGTGXL9Z</v>
          </cell>
          <cell r="D79" t="str">
            <v>TRENDIKRAFT</v>
          </cell>
          <cell r="E79" t="str">
            <v>Tape</v>
          </cell>
        </row>
        <row r="80">
          <cell r="C80" t="str">
            <v>B0CGTBL1QC</v>
          </cell>
          <cell r="D80" t="str">
            <v>TRENDIKRAFT</v>
          </cell>
          <cell r="E80" t="str">
            <v>Tape</v>
          </cell>
        </row>
        <row r="81">
          <cell r="C81" t="str">
            <v>B0CGTL2J38</v>
          </cell>
          <cell r="D81" t="str">
            <v>TRENDIKRAFT</v>
          </cell>
          <cell r="E81" t="str">
            <v>Tape</v>
          </cell>
        </row>
        <row r="82">
          <cell r="C82" t="str">
            <v>B0CGTFP796</v>
          </cell>
          <cell r="D82" t="str">
            <v>TRENDIKRAFT</v>
          </cell>
          <cell r="E82" t="str">
            <v>Tape</v>
          </cell>
        </row>
        <row r="83">
          <cell r="C83" t="str">
            <v>B0CGTPZ5NK</v>
          </cell>
          <cell r="D83" t="str">
            <v>TRENDIKRAFT</v>
          </cell>
          <cell r="E83" t="str">
            <v>Tape</v>
          </cell>
        </row>
        <row r="84">
          <cell r="C84" t="str">
            <v>B0CGT58FQL</v>
          </cell>
          <cell r="D84" t="str">
            <v>TRENDIKRAFT</v>
          </cell>
          <cell r="E84" t="str">
            <v>Tape</v>
          </cell>
        </row>
        <row r="85">
          <cell r="C85" t="str">
            <v>B0CGTKKNW4</v>
          </cell>
          <cell r="D85" t="str">
            <v>TRENDIKRAFT</v>
          </cell>
          <cell r="E85" t="str">
            <v>Tape</v>
          </cell>
        </row>
        <row r="86">
          <cell r="C86" t="str">
            <v>B0CGTD7BDJ</v>
          </cell>
          <cell r="D86" t="str">
            <v>TRENDIKRAFT</v>
          </cell>
          <cell r="E86" t="str">
            <v>Tape</v>
          </cell>
        </row>
        <row r="87">
          <cell r="C87" t="str">
            <v>B0CGTBX83Z</v>
          </cell>
          <cell r="D87" t="str">
            <v>TRENDIKRAFT</v>
          </cell>
          <cell r="E87" t="str">
            <v>Tape</v>
          </cell>
        </row>
        <row r="88">
          <cell r="C88" t="str">
            <v>B0CGT5BX9H</v>
          </cell>
          <cell r="D88" t="str">
            <v>TRENDIKRAFT</v>
          </cell>
          <cell r="E88" t="str">
            <v>Tape</v>
          </cell>
        </row>
        <row r="89">
          <cell r="C89" t="str">
            <v>B0CGTNZFKB</v>
          </cell>
          <cell r="D89" t="str">
            <v>TRENDIKRAFT</v>
          </cell>
          <cell r="E89" t="str">
            <v>Tape</v>
          </cell>
        </row>
        <row r="90">
          <cell r="C90" t="str">
            <v>B0CGTGF93W</v>
          </cell>
          <cell r="D90" t="str">
            <v>TRENDIKRAFT</v>
          </cell>
          <cell r="E90" t="str">
            <v>Tape</v>
          </cell>
        </row>
        <row r="91">
          <cell r="C91" t="str">
            <v>B0CGTF9RBD</v>
          </cell>
          <cell r="D91" t="str">
            <v>TRENDIKRAFT</v>
          </cell>
          <cell r="E91" t="str">
            <v>Tape</v>
          </cell>
        </row>
        <row r="92">
          <cell r="C92" t="str">
            <v>B0CGT6W1ZW</v>
          </cell>
          <cell r="D92" t="str">
            <v>TRENDIKRAFT</v>
          </cell>
          <cell r="E92" t="str">
            <v>Tape</v>
          </cell>
        </row>
        <row r="93">
          <cell r="C93" t="str">
            <v>B0CGTK1W99</v>
          </cell>
          <cell r="D93" t="str">
            <v>TRENDIKRAFT</v>
          </cell>
          <cell r="E93" t="str">
            <v>Tape</v>
          </cell>
        </row>
        <row r="94">
          <cell r="C94" t="str">
            <v>B0CGT8B6P2</v>
          </cell>
          <cell r="D94" t="str">
            <v>TRENDIKRAFT</v>
          </cell>
          <cell r="E94" t="str">
            <v>Tape</v>
          </cell>
        </row>
        <row r="95">
          <cell r="C95" t="str">
            <v>B0CGTJ3DH2</v>
          </cell>
          <cell r="D95" t="str">
            <v>TRENDIKRAFT</v>
          </cell>
          <cell r="E95" t="str">
            <v>Tape</v>
          </cell>
        </row>
        <row r="96">
          <cell r="C96" t="str">
            <v>B0CGT9K2NL</v>
          </cell>
          <cell r="D96" t="str">
            <v>TRENDIKRAFT</v>
          </cell>
          <cell r="E96" t="str">
            <v>Tape</v>
          </cell>
        </row>
        <row r="97">
          <cell r="C97" t="str">
            <v>B0CGTCMP5G</v>
          </cell>
          <cell r="D97" t="str">
            <v>TRENDIKRAFT</v>
          </cell>
          <cell r="E97" t="str">
            <v>Tape</v>
          </cell>
        </row>
        <row r="98">
          <cell r="C98" t="str">
            <v>B0CGTM344L</v>
          </cell>
          <cell r="D98" t="str">
            <v>TRENDIKRAFT</v>
          </cell>
          <cell r="E98" t="str">
            <v>Tape</v>
          </cell>
        </row>
        <row r="99">
          <cell r="C99" t="str">
            <v>B0CGTBK3HT</v>
          </cell>
          <cell r="D99" t="str">
            <v>TRENDIKRAFT</v>
          </cell>
          <cell r="E99" t="str">
            <v>Tape</v>
          </cell>
        </row>
        <row r="100">
          <cell r="C100" t="str">
            <v>B0CGTCTT6F</v>
          </cell>
          <cell r="D100" t="str">
            <v>TRENDIKRAFT</v>
          </cell>
          <cell r="E100" t="str">
            <v>Tape</v>
          </cell>
        </row>
        <row r="101">
          <cell r="C101" t="str">
            <v>B0CGTHZMWK</v>
          </cell>
          <cell r="D101" t="str">
            <v>TRENDIKRAFT</v>
          </cell>
          <cell r="E101" t="str">
            <v>Tape</v>
          </cell>
        </row>
        <row r="102">
          <cell r="C102" t="str">
            <v>B0CGT9S4K9</v>
          </cell>
          <cell r="D102" t="str">
            <v>TRENDIKRAFT</v>
          </cell>
          <cell r="E102" t="str">
            <v>Tape</v>
          </cell>
        </row>
        <row r="103">
          <cell r="C103" t="str">
            <v>B0CGTF85ZM</v>
          </cell>
          <cell r="D103" t="str">
            <v>TRENDIKRAFT</v>
          </cell>
          <cell r="E103" t="str">
            <v>Tape</v>
          </cell>
        </row>
        <row r="104">
          <cell r="C104" t="str">
            <v>B0CGTRKLD9</v>
          </cell>
          <cell r="D104" t="str">
            <v>TRENDIKRAFT</v>
          </cell>
          <cell r="E104" t="str">
            <v>Tape</v>
          </cell>
        </row>
        <row r="105">
          <cell r="C105" t="str">
            <v>B0CGT5HMLK</v>
          </cell>
          <cell r="D105" t="str">
            <v>TRENDIKRAFT</v>
          </cell>
          <cell r="E105" t="str">
            <v>Tape</v>
          </cell>
        </row>
        <row r="106">
          <cell r="C106" t="str">
            <v>B0CGT6KNZB</v>
          </cell>
          <cell r="D106" t="str">
            <v>TRENDIKRAFT</v>
          </cell>
          <cell r="E106" t="str">
            <v>Tape</v>
          </cell>
        </row>
        <row r="107">
          <cell r="C107" t="str">
            <v>B0CGTHR7SJ</v>
          </cell>
          <cell r="D107" t="str">
            <v>TRENDIKRAFT</v>
          </cell>
          <cell r="E107" t="str">
            <v>Tape</v>
          </cell>
        </row>
        <row r="108">
          <cell r="C108" t="str">
            <v>B0CGTLK5LW</v>
          </cell>
          <cell r="D108" t="str">
            <v>TRENDIKRAFT</v>
          </cell>
          <cell r="E108" t="str">
            <v>Tape</v>
          </cell>
        </row>
        <row r="109">
          <cell r="C109" t="str">
            <v>B0CGT9DG4F</v>
          </cell>
          <cell r="D109" t="str">
            <v>TRENDIKRAFT</v>
          </cell>
          <cell r="E109" t="str">
            <v>Tape</v>
          </cell>
        </row>
        <row r="110">
          <cell r="C110" t="str">
            <v>B0CGTBJS6N</v>
          </cell>
          <cell r="D110" t="str">
            <v>TRENDIKRAFT</v>
          </cell>
          <cell r="E110" t="str">
            <v>Tape</v>
          </cell>
        </row>
        <row r="111">
          <cell r="C111" t="str">
            <v>B0CGTBX846</v>
          </cell>
          <cell r="D111" t="str">
            <v>TRENDIKRAFT</v>
          </cell>
          <cell r="E111" t="str">
            <v>Tape</v>
          </cell>
        </row>
        <row r="112">
          <cell r="C112" t="str">
            <v>B0CGT6XW6S</v>
          </cell>
          <cell r="D112" t="str">
            <v>TRENDIKRAFT</v>
          </cell>
          <cell r="E112" t="str">
            <v>Tape</v>
          </cell>
        </row>
        <row r="113">
          <cell r="C113" t="str">
            <v>B0CGT9PZHY</v>
          </cell>
          <cell r="D113" t="str">
            <v>TRENDIKRAFT</v>
          </cell>
          <cell r="E113" t="str">
            <v>Tape</v>
          </cell>
        </row>
        <row r="114">
          <cell r="C114" t="str">
            <v>B0CGT9G6QV</v>
          </cell>
          <cell r="D114" t="str">
            <v>TRENDIKRAFT</v>
          </cell>
          <cell r="E114" t="str">
            <v>Tape</v>
          </cell>
        </row>
        <row r="115">
          <cell r="C115" t="str">
            <v>B0CGT7R6H5</v>
          </cell>
          <cell r="D115" t="str">
            <v>TRENDIKRAFT</v>
          </cell>
          <cell r="E115" t="str">
            <v>Tape</v>
          </cell>
        </row>
        <row r="116">
          <cell r="C116" t="str">
            <v>B0CGT9WP4R</v>
          </cell>
          <cell r="D116" t="str">
            <v>TRENDIKRAFT</v>
          </cell>
          <cell r="E116" t="str">
            <v>Tape</v>
          </cell>
        </row>
        <row r="117">
          <cell r="C117" t="str">
            <v>B0CGTKN84W</v>
          </cell>
          <cell r="D117" t="str">
            <v>TRENDIKRAFT</v>
          </cell>
          <cell r="E117" t="str">
            <v>Tape</v>
          </cell>
        </row>
        <row r="118">
          <cell r="C118" t="str">
            <v>B0CGTBQVPQ</v>
          </cell>
          <cell r="D118" t="str">
            <v>TRENDIKRAFT</v>
          </cell>
          <cell r="E118" t="str">
            <v>Tape</v>
          </cell>
        </row>
        <row r="119">
          <cell r="C119" t="str">
            <v>B0CGT7MH7L</v>
          </cell>
          <cell r="D119" t="str">
            <v>TRENDIKRAFT</v>
          </cell>
          <cell r="E119" t="str">
            <v>Tape</v>
          </cell>
        </row>
        <row r="120">
          <cell r="C120" t="str">
            <v>B0CGTLWWND</v>
          </cell>
          <cell r="D120" t="str">
            <v>TRENDIKRAFT</v>
          </cell>
          <cell r="E120" t="str">
            <v>Tape</v>
          </cell>
        </row>
        <row r="121">
          <cell r="C121" t="str">
            <v>B0CGTFPMNV</v>
          </cell>
          <cell r="D121" t="str">
            <v>TRENDIKRAFT</v>
          </cell>
          <cell r="E121" t="str">
            <v>Tape</v>
          </cell>
        </row>
        <row r="122">
          <cell r="C122" t="str">
            <v>B0CGTM1SQ9</v>
          </cell>
          <cell r="D122" t="str">
            <v>TRENDIKRAFT</v>
          </cell>
          <cell r="E122" t="str">
            <v>Tape</v>
          </cell>
        </row>
        <row r="123">
          <cell r="C123" t="str">
            <v>B0D6NDZJV3</v>
          </cell>
          <cell r="D123" t="str">
            <v>TRENDIKRAFT</v>
          </cell>
          <cell r="E123" t="str">
            <v>Tape</v>
          </cell>
        </row>
        <row r="124">
          <cell r="C124" t="str">
            <v>B0D78TTGCD</v>
          </cell>
          <cell r="D124" t="str">
            <v>TRENDIKRAFT</v>
          </cell>
          <cell r="E124" t="str">
            <v>Tape</v>
          </cell>
        </row>
        <row r="125">
          <cell r="C125" t="str">
            <v>B0D78YGBG8</v>
          </cell>
          <cell r="D125" t="str">
            <v>TRENDIKRAFT</v>
          </cell>
          <cell r="E125" t="str">
            <v>Tape</v>
          </cell>
        </row>
        <row r="126">
          <cell r="C126" t="str">
            <v>B0D78ZQ3HR</v>
          </cell>
          <cell r="D126" t="str">
            <v>TRENDIKRAFT</v>
          </cell>
          <cell r="E126" t="str">
            <v>Tape</v>
          </cell>
        </row>
        <row r="127">
          <cell r="C127" t="str">
            <v>B0D78Y95TG</v>
          </cell>
          <cell r="D127" t="str">
            <v>TRENDIKRAFT</v>
          </cell>
          <cell r="E127" t="str">
            <v>Tape</v>
          </cell>
        </row>
        <row r="128">
          <cell r="C128" t="str">
            <v>B0D78ZMGSD</v>
          </cell>
          <cell r="D128" t="str">
            <v>TRENDIKRAFT</v>
          </cell>
          <cell r="E128" t="str">
            <v>Tape</v>
          </cell>
        </row>
        <row r="129">
          <cell r="C129" t="str">
            <v>B0D78YQMSX</v>
          </cell>
          <cell r="D129" t="str">
            <v>TRENDIKRAFT</v>
          </cell>
          <cell r="E129" t="str">
            <v>Tape</v>
          </cell>
        </row>
        <row r="130">
          <cell r="C130" t="str">
            <v>B0CQKM5PY8</v>
          </cell>
          <cell r="D130" t="str">
            <v>TRENDIKRAFT</v>
          </cell>
          <cell r="E130" t="str">
            <v>Tape</v>
          </cell>
        </row>
        <row r="131">
          <cell r="C131" t="str">
            <v>B0CQKHR4QM</v>
          </cell>
          <cell r="D131" t="str">
            <v>TRENDIKRAFT</v>
          </cell>
          <cell r="E131" t="str">
            <v>Tape</v>
          </cell>
        </row>
        <row r="132">
          <cell r="C132" t="str">
            <v>B0CQKM2N7Y</v>
          </cell>
          <cell r="D132" t="str">
            <v>TRENDIKRAFT</v>
          </cell>
          <cell r="E132" t="str">
            <v>Tape</v>
          </cell>
        </row>
        <row r="133">
          <cell r="C133" t="str">
            <v>B0CWV9J79W</v>
          </cell>
          <cell r="D133" t="str">
            <v>TRENDIKRAFT</v>
          </cell>
          <cell r="E133" t="str">
            <v>Tape</v>
          </cell>
        </row>
        <row r="134">
          <cell r="C134" t="str">
            <v>B0D6NFSGQS</v>
          </cell>
          <cell r="D134" t="str">
            <v>TRENDIKRAFT</v>
          </cell>
          <cell r="E134" t="str">
            <v>Tape</v>
          </cell>
        </row>
        <row r="135">
          <cell r="C135" t="str">
            <v>B0D6NF4V43</v>
          </cell>
          <cell r="D135" t="str">
            <v>TRENDIKRAFT</v>
          </cell>
          <cell r="E135" t="str">
            <v>Tape</v>
          </cell>
        </row>
        <row r="136">
          <cell r="C136" t="str">
            <v>B0CXTH36HR</v>
          </cell>
          <cell r="D136" t="str">
            <v>TRENDIKRAFT</v>
          </cell>
          <cell r="E136" t="str">
            <v>Tape</v>
          </cell>
        </row>
        <row r="137">
          <cell r="C137" t="str">
            <v>B0DNFQL11S</v>
          </cell>
          <cell r="D137" t="str">
            <v>TRENDIKRAFT</v>
          </cell>
          <cell r="E137" t="str">
            <v>Stretch Film</v>
          </cell>
        </row>
        <row r="138">
          <cell r="C138" t="str">
            <v>B0CQ4TMVG9</v>
          </cell>
          <cell r="D138" t="str">
            <v>EB-Everything Beautiful</v>
          </cell>
          <cell r="E138" t="str">
            <v>Copper Bottle</v>
          </cell>
        </row>
        <row r="139">
          <cell r="C139" t="str">
            <v>B0CQ87NCWG</v>
          </cell>
          <cell r="D139" t="str">
            <v>EB-Everything Beautiful</v>
          </cell>
          <cell r="E139" t="str">
            <v>Copper Bottle</v>
          </cell>
        </row>
        <row r="140">
          <cell r="C140" t="str">
            <v>B0CQ7S9QFZ</v>
          </cell>
          <cell r="D140" t="str">
            <v>EB-Everything Beautiful</v>
          </cell>
          <cell r="E140" t="str">
            <v>Copper Bottle</v>
          </cell>
        </row>
        <row r="141">
          <cell r="C141" t="str">
            <v>B0CQ88JX6M</v>
          </cell>
          <cell r="D141" t="str">
            <v>EB-Everything Beautiful</v>
          </cell>
          <cell r="E141" t="str">
            <v>Copper Bottle</v>
          </cell>
        </row>
        <row r="142">
          <cell r="C142" t="str">
            <v>B0BVBQ17P1</v>
          </cell>
          <cell r="D142" t="str">
            <v>EB-Everything Beautiful</v>
          </cell>
          <cell r="E142" t="str">
            <v>Copper Bottle</v>
          </cell>
        </row>
        <row r="143">
          <cell r="C143" t="str">
            <v>B0BW9FTXT4</v>
          </cell>
          <cell r="D143" t="str">
            <v>EB-Everything Beautiful</v>
          </cell>
          <cell r="E143" t="str">
            <v>Copper Bottle</v>
          </cell>
        </row>
        <row r="144">
          <cell r="C144" t="str">
            <v>B0CQ4SGXR3</v>
          </cell>
          <cell r="D144" t="str">
            <v>EB-Everything Beautiful</v>
          </cell>
          <cell r="E144" t="str">
            <v>Copper Bottle</v>
          </cell>
        </row>
        <row r="145">
          <cell r="C145" t="str">
            <v>B0CZ6FKNJ8</v>
          </cell>
          <cell r="D145" t="str">
            <v>EB-Everything Beautiful</v>
          </cell>
          <cell r="E145" t="str">
            <v>Copper Bottle</v>
          </cell>
        </row>
        <row r="146">
          <cell r="C146" t="str">
            <v>B0CQ7V4FZZ</v>
          </cell>
          <cell r="D146" t="str">
            <v>EB-Everything Beautiful</v>
          </cell>
          <cell r="E146" t="str">
            <v>Copper Bottle</v>
          </cell>
        </row>
        <row r="147">
          <cell r="C147" t="str">
            <v>B0CQ7QHFPD</v>
          </cell>
          <cell r="D147" t="str">
            <v>EB-Everything Beautiful</v>
          </cell>
          <cell r="E147" t="str">
            <v>Copper Bottle</v>
          </cell>
        </row>
        <row r="148">
          <cell r="C148" t="str">
            <v>B0CZ6KT8SX</v>
          </cell>
          <cell r="D148" t="str">
            <v>EB-Everything Beautiful</v>
          </cell>
          <cell r="E148" t="str">
            <v>Copper Bottle</v>
          </cell>
        </row>
        <row r="149">
          <cell r="C149" t="str">
            <v>B0CZ6L6ZYR</v>
          </cell>
          <cell r="D149" t="str">
            <v>EB-Everything Beautiful</v>
          </cell>
          <cell r="E149" t="str">
            <v>Copper Bottle</v>
          </cell>
        </row>
        <row r="150">
          <cell r="C150" t="str">
            <v>B0CQ4SQ3VG</v>
          </cell>
          <cell r="D150" t="str">
            <v>EB-Everything Beautiful</v>
          </cell>
          <cell r="E150" t="str">
            <v>Copper Bottle</v>
          </cell>
        </row>
        <row r="151">
          <cell r="C151" t="str">
            <v>B0CQ4S1STX</v>
          </cell>
          <cell r="D151" t="str">
            <v>EB-Everything Beautiful</v>
          </cell>
          <cell r="E151" t="str">
            <v>Copper Bottle</v>
          </cell>
        </row>
        <row r="152">
          <cell r="C152" t="str">
            <v>B0CZ71QL2H</v>
          </cell>
          <cell r="D152" t="str">
            <v>EB-Everything Beautiful</v>
          </cell>
          <cell r="E152" t="str">
            <v>Copper Bottle</v>
          </cell>
        </row>
        <row r="153">
          <cell r="C153" t="str">
            <v>B0CZ6SHWZV</v>
          </cell>
          <cell r="D153" t="str">
            <v>EB-Everything Beautiful</v>
          </cell>
          <cell r="E153" t="str">
            <v>Copper Bottle</v>
          </cell>
        </row>
        <row r="154">
          <cell r="C154" t="str">
            <v>B0CQ7VQKWD</v>
          </cell>
          <cell r="D154" t="str">
            <v>EB-Everything Beautiful</v>
          </cell>
          <cell r="E154" t="str">
            <v>Copper Bottle</v>
          </cell>
        </row>
        <row r="155">
          <cell r="C155" t="str">
            <v>B0CQ8G3B9N</v>
          </cell>
          <cell r="D155" t="str">
            <v>EB-Everything Beautiful</v>
          </cell>
          <cell r="E155" t="str">
            <v>Copper Bottle</v>
          </cell>
        </row>
        <row r="156">
          <cell r="C156" t="str">
            <v>B0CZ6MP8B4</v>
          </cell>
          <cell r="D156" t="str">
            <v>EB-Everything Beautiful</v>
          </cell>
          <cell r="E156" t="str">
            <v>Copper Bottle</v>
          </cell>
        </row>
        <row r="157">
          <cell r="C157" t="str">
            <v>B0BVBP6C3Y</v>
          </cell>
          <cell r="D157" t="str">
            <v>EB-Everything Beautiful</v>
          </cell>
          <cell r="E157" t="str">
            <v>Copper Bottle</v>
          </cell>
        </row>
        <row r="158">
          <cell r="C158" t="str">
            <v>B0CQ58F2P9</v>
          </cell>
          <cell r="D158" t="str">
            <v>EB-Everything Beautiful</v>
          </cell>
          <cell r="E158" t="str">
            <v>Steel Bottle</v>
          </cell>
        </row>
        <row r="159">
          <cell r="C159" t="str">
            <v>B0CQ58MKRR</v>
          </cell>
          <cell r="D159" t="str">
            <v>EB-Everything Beautiful</v>
          </cell>
          <cell r="E159" t="str">
            <v>Steel Bottle</v>
          </cell>
        </row>
        <row r="160">
          <cell r="C160" t="str">
            <v>B0CQ5BTDQK</v>
          </cell>
          <cell r="D160" t="str">
            <v>EB-Everything Beautiful</v>
          </cell>
          <cell r="E160" t="str">
            <v>Steel Bottle</v>
          </cell>
        </row>
        <row r="161">
          <cell r="C161" t="str">
            <v>B0CQ58D9HX</v>
          </cell>
          <cell r="D161" t="str">
            <v>EB-Everything Beautiful</v>
          </cell>
          <cell r="E161" t="str">
            <v>Steel Bottle</v>
          </cell>
        </row>
        <row r="162">
          <cell r="C162" t="str">
            <v>B0CQ55YG32</v>
          </cell>
          <cell r="D162" t="str">
            <v>EB-Everything Beautiful</v>
          </cell>
          <cell r="E162" t="str">
            <v>Steel Bottle</v>
          </cell>
        </row>
        <row r="163">
          <cell r="C163" t="str">
            <v>B0FCMMCJBW</v>
          </cell>
          <cell r="D163" t="str">
            <v>EB-Everything Beautiful</v>
          </cell>
          <cell r="E163" t="str">
            <v>Steel Bottle</v>
          </cell>
        </row>
        <row r="164">
          <cell r="C164" t="str">
            <v>B0CQ59XHCW</v>
          </cell>
          <cell r="D164" t="str">
            <v>EB-Everything Beautiful</v>
          </cell>
          <cell r="E164" t="str">
            <v>Steel Bottle</v>
          </cell>
        </row>
        <row r="165">
          <cell r="C165" t="str">
            <v>B0CQ59HYSM</v>
          </cell>
          <cell r="D165" t="str">
            <v>EB-Everything Beautiful</v>
          </cell>
          <cell r="E165" t="str">
            <v>Steel Bottle</v>
          </cell>
        </row>
        <row r="166">
          <cell r="C166" t="str">
            <v>B0CQ57BF23</v>
          </cell>
          <cell r="D166" t="str">
            <v>EB-Everything Beautiful</v>
          </cell>
          <cell r="E166" t="str">
            <v>Steel Bottle</v>
          </cell>
        </row>
        <row r="167">
          <cell r="C167" t="str">
            <v>B0CQ58CT1Z</v>
          </cell>
          <cell r="D167" t="str">
            <v>EB-Everything Beautiful</v>
          </cell>
          <cell r="E167" t="str">
            <v>Steel Bottle</v>
          </cell>
        </row>
        <row r="168">
          <cell r="C168" t="str">
            <v>B0CQ58QDMJ</v>
          </cell>
          <cell r="D168" t="str">
            <v>EB-Everything Beautiful</v>
          </cell>
          <cell r="E168" t="str">
            <v>Steel Bottle</v>
          </cell>
        </row>
        <row r="169">
          <cell r="C169" t="str">
            <v>B0CQ581TW3</v>
          </cell>
          <cell r="D169" t="str">
            <v>EB-Everything Beautiful</v>
          </cell>
          <cell r="E169" t="str">
            <v>Steel Bottle</v>
          </cell>
        </row>
        <row r="170">
          <cell r="C170" t="str">
            <v>B0CQ59VKJK</v>
          </cell>
          <cell r="D170" t="str">
            <v>EB-Everything Beautiful</v>
          </cell>
          <cell r="E170" t="str">
            <v>Steel Bottle</v>
          </cell>
        </row>
        <row r="171">
          <cell r="C171" t="str">
            <v>B0CQ59JT6F</v>
          </cell>
          <cell r="D171" t="str">
            <v>EB-Everything Beautiful</v>
          </cell>
          <cell r="E171" t="str">
            <v>Steel Bottle</v>
          </cell>
        </row>
        <row r="172">
          <cell r="C172" t="str">
            <v>B0CQ5BL1P6</v>
          </cell>
          <cell r="D172" t="str">
            <v>EB-Everything Beautiful</v>
          </cell>
          <cell r="E172" t="str">
            <v>Steel Bottle</v>
          </cell>
        </row>
        <row r="173">
          <cell r="C173" t="str">
            <v>B0FCMMVN95</v>
          </cell>
          <cell r="D173" t="str">
            <v>EB-Everything Beautiful</v>
          </cell>
          <cell r="E173" t="str">
            <v>Steel Bottle</v>
          </cell>
        </row>
        <row r="174">
          <cell r="C174" t="str">
            <v>B0CQ58F6JP</v>
          </cell>
          <cell r="D174" t="str">
            <v>EB-Everything Beautiful</v>
          </cell>
          <cell r="E174" t="str">
            <v>Steel Bottle</v>
          </cell>
        </row>
        <row r="175">
          <cell r="C175" t="str">
            <v>B0CQ57SGTN</v>
          </cell>
          <cell r="D175" t="str">
            <v>EB-Everything Beautiful</v>
          </cell>
          <cell r="E175" t="str">
            <v>Steel Bottle</v>
          </cell>
        </row>
        <row r="176">
          <cell r="C176" t="str">
            <v>B0CQ57GCBZ</v>
          </cell>
          <cell r="D176" t="str">
            <v>EB-Everything Beautiful</v>
          </cell>
          <cell r="E176" t="str">
            <v>Steel Bottle</v>
          </cell>
        </row>
        <row r="177">
          <cell r="C177" t="str">
            <v>B0CQ57BBDP</v>
          </cell>
          <cell r="D177" t="str">
            <v>EB-Everything Beautiful</v>
          </cell>
          <cell r="E177" t="str">
            <v>Steel Bottle</v>
          </cell>
        </row>
        <row r="178">
          <cell r="C178" t="str">
            <v>B0D6CFD2SN</v>
          </cell>
          <cell r="D178" t="str">
            <v>EB-Everything Beautiful</v>
          </cell>
          <cell r="E178" t="str">
            <v>Steel Bottle</v>
          </cell>
        </row>
        <row r="179">
          <cell r="C179" t="str">
            <v>B0D6CRB3PT</v>
          </cell>
          <cell r="D179" t="str">
            <v>EB-Everything Beautiful</v>
          </cell>
          <cell r="E179" t="str">
            <v>Steel Bottle</v>
          </cell>
        </row>
        <row r="180">
          <cell r="C180" t="str">
            <v>B0D6CPXD9T</v>
          </cell>
          <cell r="D180" t="str">
            <v>EB-Everything Beautiful</v>
          </cell>
          <cell r="E180" t="str">
            <v>Steel Bottle</v>
          </cell>
        </row>
        <row r="181">
          <cell r="C181" t="str">
            <v>B0D6CP8773</v>
          </cell>
          <cell r="D181" t="str">
            <v>EB-Everything Beautiful</v>
          </cell>
          <cell r="E181" t="str">
            <v>Steel Bottle</v>
          </cell>
        </row>
        <row r="182">
          <cell r="C182" t="str">
            <v>B0D6CR577K</v>
          </cell>
          <cell r="D182" t="str">
            <v>EB-Everything Beautiful</v>
          </cell>
          <cell r="E182" t="str">
            <v>Steel Bottle</v>
          </cell>
        </row>
        <row r="183">
          <cell r="C183" t="str">
            <v>B0D6CVCZ44</v>
          </cell>
          <cell r="D183" t="str">
            <v>EB-Everything Beautiful</v>
          </cell>
          <cell r="E183" t="str">
            <v>Steel Bottle</v>
          </cell>
        </row>
        <row r="184">
          <cell r="C184" t="str">
            <v>B0D6CKXLPC</v>
          </cell>
          <cell r="D184" t="str">
            <v>EB-Everything Beautiful</v>
          </cell>
          <cell r="E184" t="str">
            <v>Steel Bottle</v>
          </cell>
        </row>
        <row r="185">
          <cell r="C185" t="str">
            <v>B0D6CXJV26</v>
          </cell>
          <cell r="D185" t="str">
            <v>EB-Everything Beautiful</v>
          </cell>
          <cell r="E185" t="str">
            <v>Steel Bottle</v>
          </cell>
        </row>
        <row r="186">
          <cell r="C186" t="str">
            <v>B0D6CXG47F</v>
          </cell>
          <cell r="D186" t="str">
            <v>EB-Everything Beautiful</v>
          </cell>
          <cell r="E186" t="str">
            <v>Steel Bottle</v>
          </cell>
        </row>
        <row r="187">
          <cell r="C187" t="str">
            <v>B0D6CWVBGZ</v>
          </cell>
          <cell r="D187" t="str">
            <v>EB-Everything Beautiful</v>
          </cell>
          <cell r="E187" t="str">
            <v>Steel Bottle</v>
          </cell>
        </row>
        <row r="188">
          <cell r="C188" t="str">
            <v>B0D6W6HPLS</v>
          </cell>
          <cell r="D188" t="str">
            <v>EB-Everything Beautiful</v>
          </cell>
          <cell r="E188" t="str">
            <v>Steel Bottle</v>
          </cell>
        </row>
        <row r="189">
          <cell r="C189" t="str">
            <v>B0D6W4V8N6</v>
          </cell>
          <cell r="D189" t="str">
            <v>EB-Everything Beautiful</v>
          </cell>
          <cell r="E189" t="str">
            <v>Steel Bottle</v>
          </cell>
        </row>
        <row r="190">
          <cell r="C190" t="str">
            <v>B0D6W63JX4</v>
          </cell>
          <cell r="D190" t="str">
            <v>EB-Everything Beautiful</v>
          </cell>
          <cell r="E190" t="str">
            <v>Steel Bottle</v>
          </cell>
        </row>
        <row r="191">
          <cell r="C191" t="str">
            <v>B0D6W7R9VH</v>
          </cell>
          <cell r="D191" t="str">
            <v>EB-Everything Beautiful</v>
          </cell>
          <cell r="E191" t="str">
            <v>Steel Bottle</v>
          </cell>
        </row>
        <row r="192">
          <cell r="C192" t="str">
            <v>B0D6W6PKMH</v>
          </cell>
          <cell r="D192" t="str">
            <v>EB-Everything Beautiful</v>
          </cell>
          <cell r="E192" t="str">
            <v>Steel Bottle</v>
          </cell>
        </row>
        <row r="193">
          <cell r="C193" t="str">
            <v>B0FCMMFSCW</v>
          </cell>
          <cell r="D193" t="str">
            <v>EB-Everything Beautiful</v>
          </cell>
          <cell r="E193" t="str">
            <v>Steel Bottle</v>
          </cell>
        </row>
        <row r="194">
          <cell r="C194" t="str">
            <v>B0D6CV7H9C</v>
          </cell>
          <cell r="D194" t="str">
            <v>EB-Everything Beautiful</v>
          </cell>
          <cell r="E194" t="str">
            <v>Steel Bottle</v>
          </cell>
        </row>
        <row r="195">
          <cell r="C195" t="str">
            <v>B0D6C6S2JV</v>
          </cell>
          <cell r="D195" t="str">
            <v>EB-Everything Beautiful</v>
          </cell>
          <cell r="E195" t="str">
            <v>Steel Bottle</v>
          </cell>
        </row>
        <row r="196">
          <cell r="C196" t="str">
            <v>B0D6CKMCT9</v>
          </cell>
          <cell r="D196" t="str">
            <v>EB-Everything Beautiful</v>
          </cell>
          <cell r="E196" t="str">
            <v>Steel Bottle</v>
          </cell>
        </row>
        <row r="197">
          <cell r="C197" t="str">
            <v>B0D6CFS1XD</v>
          </cell>
          <cell r="D197" t="str">
            <v>EB-Everything Beautiful</v>
          </cell>
          <cell r="E197" t="str">
            <v>Steel Bottle</v>
          </cell>
        </row>
        <row r="198">
          <cell r="C198" t="str">
            <v>B0FCMQ6V3T</v>
          </cell>
          <cell r="D198" t="str">
            <v>EB-Everything Beautiful</v>
          </cell>
          <cell r="E198" t="str">
            <v>Steel Bottle</v>
          </cell>
        </row>
        <row r="199">
          <cell r="C199" t="str">
            <v>B0D6CQMVG7</v>
          </cell>
          <cell r="D199" t="str">
            <v>EB-Everything Beautiful</v>
          </cell>
          <cell r="E199" t="str">
            <v>Steel Bottle</v>
          </cell>
        </row>
        <row r="200">
          <cell r="C200" t="str">
            <v>B0D6D3J8RM</v>
          </cell>
          <cell r="D200" t="str">
            <v>EB-Everything Beautiful</v>
          </cell>
          <cell r="E200" t="str">
            <v>Steel Bottle</v>
          </cell>
        </row>
        <row r="201">
          <cell r="C201" t="str">
            <v>B0D6CFWPB2</v>
          </cell>
          <cell r="D201" t="str">
            <v>EB-Everything Beautiful</v>
          </cell>
          <cell r="E201" t="str">
            <v>Steel Bottle</v>
          </cell>
        </row>
        <row r="202">
          <cell r="C202" t="str">
            <v>B0D6CCFHPH</v>
          </cell>
          <cell r="D202" t="str">
            <v>EB-Everything Beautiful</v>
          </cell>
          <cell r="E202" t="str">
            <v>Steel Bottle</v>
          </cell>
        </row>
        <row r="203">
          <cell r="C203" t="str">
            <v>B0FCML8S9H</v>
          </cell>
          <cell r="D203" t="str">
            <v>EB-Everything Beautiful</v>
          </cell>
          <cell r="E203" t="str">
            <v>Steel Bottle</v>
          </cell>
        </row>
        <row r="204">
          <cell r="C204" t="str">
            <v>B0D6CMPM5Z</v>
          </cell>
          <cell r="D204" t="str">
            <v>EB-Everything Beautiful</v>
          </cell>
          <cell r="E204" t="str">
            <v>Steel Bottle</v>
          </cell>
        </row>
        <row r="205">
          <cell r="C205" t="str">
            <v>B0D6C9QZTJ</v>
          </cell>
          <cell r="D205" t="str">
            <v>EB-Everything Beautiful</v>
          </cell>
          <cell r="E205" t="str">
            <v>Steel Bottle</v>
          </cell>
        </row>
        <row r="206">
          <cell r="C206" t="str">
            <v>B0D6C9VM2Y</v>
          </cell>
          <cell r="D206" t="str">
            <v>EB-Everything Beautiful</v>
          </cell>
          <cell r="E206" t="str">
            <v>Steel Bottle</v>
          </cell>
        </row>
        <row r="207">
          <cell r="C207" t="str">
            <v>B0D6CM1VCC</v>
          </cell>
          <cell r="D207" t="str">
            <v>EB-Everything Beautiful</v>
          </cell>
          <cell r="E207" t="str">
            <v>Steel Bottle</v>
          </cell>
        </row>
        <row r="208">
          <cell r="C208" t="str">
            <v>B0CQ4TZTT7</v>
          </cell>
          <cell r="D208" t="str">
            <v>EB-Everything Beautiful</v>
          </cell>
          <cell r="E208" t="str">
            <v>Copper Bottle</v>
          </cell>
        </row>
        <row r="209">
          <cell r="C209" t="str">
            <v>B0CQ4TVJ1V</v>
          </cell>
          <cell r="D209" t="str">
            <v>EB-Everything Beautiful</v>
          </cell>
          <cell r="E209" t="str">
            <v>Copper Bottle</v>
          </cell>
        </row>
        <row r="210">
          <cell r="C210" t="str">
            <v>B0CWJ9QFFN</v>
          </cell>
          <cell r="D210" t="str">
            <v>ORILEY</v>
          </cell>
          <cell r="E210" t="str">
            <v>Humidifier</v>
          </cell>
        </row>
        <row r="211">
          <cell r="B211" t="str">
            <v>BXOYRGNR114448474</v>
          </cell>
          <cell r="C211" t="str">
            <v>B0FGJWZQGH</v>
          </cell>
          <cell r="D211" t="str">
            <v>BOXJOY</v>
          </cell>
          <cell r="E211" t="str">
            <v>Wardrobe Organizer</v>
          </cell>
        </row>
        <row r="212">
          <cell r="B212" t="str">
            <v>BXOYRGNR114448471</v>
          </cell>
          <cell r="C212" t="str">
            <v>B0FGJWZ2FQ</v>
          </cell>
          <cell r="D212" t="str">
            <v>BOXJOY</v>
          </cell>
          <cell r="E212" t="str">
            <v>Wardrobe Organizer</v>
          </cell>
        </row>
        <row r="213">
          <cell r="B213" t="str">
            <v>BXOYRGNR111981428</v>
          </cell>
          <cell r="C213" t="str">
            <v>B0DRDGQJ88</v>
          </cell>
          <cell r="D213" t="str">
            <v>BOXJOY</v>
          </cell>
          <cell r="E213" t="str">
            <v>Wardrobe Organizer</v>
          </cell>
        </row>
        <row r="214">
          <cell r="B214" t="str">
            <v>BXOYRGNR111981448</v>
          </cell>
          <cell r="C214" t="str">
            <v>B0DRDC3KQ4</v>
          </cell>
          <cell r="D214" t="str">
            <v>BOXJOY</v>
          </cell>
          <cell r="E214" t="str">
            <v>Wardrobe Organizer</v>
          </cell>
        </row>
        <row r="215">
          <cell r="B215" t="str">
            <v>BXOYRGNR114448473</v>
          </cell>
          <cell r="C215" t="str">
            <v>B0FGK1B341</v>
          </cell>
          <cell r="D215" t="str">
            <v>BOXJOY</v>
          </cell>
          <cell r="E215" t="str">
            <v>Wardrobe Organizer</v>
          </cell>
        </row>
        <row r="216">
          <cell r="B216" t="str">
            <v>BXOYRGNR111981455</v>
          </cell>
          <cell r="C216" t="str">
            <v>B0DRDD3D14</v>
          </cell>
          <cell r="D216" t="str">
            <v>BOXJOY</v>
          </cell>
          <cell r="E216" t="str">
            <v>Wardrobe Organizer</v>
          </cell>
        </row>
        <row r="217">
          <cell r="B217" t="str">
            <v>BXOYRGNR114448472</v>
          </cell>
          <cell r="C217" t="str">
            <v>B0FGJY58J9</v>
          </cell>
          <cell r="D217" t="str">
            <v>BOXJOY</v>
          </cell>
          <cell r="E217" t="str">
            <v>Wardrobe Organizer</v>
          </cell>
        </row>
        <row r="218">
          <cell r="B218" t="str">
            <v>BXOYRGNR113199839</v>
          </cell>
          <cell r="C218" t="str">
            <v>B0DSWJWG3V</v>
          </cell>
          <cell r="D218" t="str">
            <v>BOXJOY</v>
          </cell>
          <cell r="E218" t="str">
            <v>Drawer Organizer</v>
          </cell>
        </row>
        <row r="219">
          <cell r="B219" t="str">
            <v>BXOYRGNR113199845</v>
          </cell>
          <cell r="C219" t="str">
            <v>B0DSWKKM92</v>
          </cell>
          <cell r="D219" t="str">
            <v>BOXJOY</v>
          </cell>
          <cell r="E219" t="str">
            <v>Drawer Organizer</v>
          </cell>
        </row>
        <row r="220">
          <cell r="B220" t="str">
            <v>BXOYRGNR113199858</v>
          </cell>
          <cell r="C220" t="str">
            <v>B0DSWKD33H</v>
          </cell>
          <cell r="D220" t="str">
            <v>BOXJOY</v>
          </cell>
          <cell r="E220" t="str">
            <v>Drawer Organizer</v>
          </cell>
        </row>
        <row r="221">
          <cell r="B221" t="str">
            <v>BXOYRGNR113199851</v>
          </cell>
          <cell r="C221" t="str">
            <v>B0DSWHYY5Z</v>
          </cell>
          <cell r="D221" t="str">
            <v>BOXJOY</v>
          </cell>
          <cell r="E221" t="str">
            <v>Drawer Organizer</v>
          </cell>
        </row>
        <row r="222">
          <cell r="B222" t="str">
            <v>BXOYRGNR115239269</v>
          </cell>
          <cell r="C222" t="str">
            <v>B0FGPRKH6B</v>
          </cell>
          <cell r="D222" t="str">
            <v>BOXJOY</v>
          </cell>
          <cell r="E222" t="str">
            <v>Travel Organizer</v>
          </cell>
        </row>
        <row r="223">
          <cell r="B223" t="str">
            <v>BXOYRGNR115239268</v>
          </cell>
          <cell r="C223" t="str">
            <v>B0FGQCX8NL</v>
          </cell>
          <cell r="D223" t="str">
            <v>BOXJOY</v>
          </cell>
          <cell r="E223" t="str">
            <v>Wardrobe Organizer</v>
          </cell>
        </row>
        <row r="224">
          <cell r="B224" t="str">
            <v>BXOYRGNR115239257</v>
          </cell>
          <cell r="C224" t="str">
            <v>B0FGQC5YK3</v>
          </cell>
          <cell r="D224" t="str">
            <v>BOXJOY</v>
          </cell>
          <cell r="E224" t="str">
            <v>Wardrobe Organizer</v>
          </cell>
        </row>
        <row r="225">
          <cell r="C225" t="str">
            <v>B0F71RY7C4</v>
          </cell>
          <cell r="D225" t="str">
            <v>BOXJOY</v>
          </cell>
          <cell r="E225" t="str">
            <v>Footwear Organizer</v>
          </cell>
        </row>
        <row r="226">
          <cell r="C226" t="str">
            <v>B0F71SKV17</v>
          </cell>
          <cell r="D226" t="str">
            <v>BOXJOY</v>
          </cell>
          <cell r="E226" t="str">
            <v>Footwear Organizer</v>
          </cell>
        </row>
        <row r="227">
          <cell r="C227" t="str">
            <v>B0F71NYK2M</v>
          </cell>
          <cell r="D227" t="str">
            <v>BOXJOY</v>
          </cell>
          <cell r="E227" t="str">
            <v>Footwear Organizer</v>
          </cell>
        </row>
        <row r="228">
          <cell r="C228" t="str">
            <v>B0F4DDT3QN</v>
          </cell>
          <cell r="D228" t="str">
            <v>BOXJOY</v>
          </cell>
          <cell r="E228" t="str">
            <v>Footwear Organizer</v>
          </cell>
        </row>
        <row r="229">
          <cell r="C229" t="str">
            <v>B0F4DHRLN8</v>
          </cell>
          <cell r="D229" t="str">
            <v>BOXJOY</v>
          </cell>
          <cell r="E229" t="str">
            <v>Footwear Organizer</v>
          </cell>
        </row>
        <row r="230">
          <cell r="C230" t="str">
            <v>B0F4DNLBB5</v>
          </cell>
          <cell r="D230" t="str">
            <v>BOXJOY</v>
          </cell>
          <cell r="E230" t="str">
            <v>Footwear Organizer</v>
          </cell>
        </row>
        <row r="231">
          <cell r="B231" t="str">
            <v>BXOYRGNR116982742</v>
          </cell>
          <cell r="C231" t="str">
            <v>B0FKTLR4VF</v>
          </cell>
          <cell r="D231" t="str">
            <v>BOXJOY</v>
          </cell>
          <cell r="E231" t="str">
            <v>Multipurpose Organizer</v>
          </cell>
        </row>
        <row r="232">
          <cell r="C232" t="str">
            <v>B0FKTV5VTN</v>
          </cell>
          <cell r="D232" t="str">
            <v>BOXJOY</v>
          </cell>
          <cell r="E232" t="str">
            <v>Multipurpose Organizer</v>
          </cell>
        </row>
        <row r="233">
          <cell r="B233" t="str">
            <v>BXOYPLTR116981358</v>
          </cell>
          <cell r="C233" t="str">
            <v>B0FKV6CJW8</v>
          </cell>
          <cell r="D233" t="str">
            <v>BOXJOY</v>
          </cell>
          <cell r="E233" t="str">
            <v>Multipurpose Organizer</v>
          </cell>
        </row>
        <row r="234">
          <cell r="B234" t="str">
            <v>BXOYPLTR116981357</v>
          </cell>
          <cell r="C234" t="str">
            <v>B0FKVRYRBG</v>
          </cell>
          <cell r="D234" t="str">
            <v>BOXJOY</v>
          </cell>
          <cell r="E234" t="str">
            <v>Multipurpose Organizer</v>
          </cell>
        </row>
        <row r="235">
          <cell r="B235" t="str">
            <v>BXOYBKSH116981665</v>
          </cell>
          <cell r="C235" t="str">
            <v>B0FKTXVPDZ</v>
          </cell>
          <cell r="D235" t="str">
            <v>BOXJOY</v>
          </cell>
          <cell r="E235" t="str">
            <v>Multipurpose Organizer</v>
          </cell>
        </row>
        <row r="236">
          <cell r="B236" t="str">
            <v>BXOYBKSH116981664</v>
          </cell>
          <cell r="C236" t="str">
            <v>B0FKVDGHHY</v>
          </cell>
          <cell r="D236" t="str">
            <v>BOXJOY</v>
          </cell>
          <cell r="E236" t="str">
            <v>Multipurpose Organizer</v>
          </cell>
        </row>
        <row r="237">
          <cell r="B237" t="str">
            <v>BXOYBDTB116980292</v>
          </cell>
          <cell r="C237" t="str">
            <v>B0FKTM1FQH</v>
          </cell>
          <cell r="D237" t="str">
            <v>BOXJOY</v>
          </cell>
          <cell r="E237" t="str">
            <v>Multipurpose Organizer</v>
          </cell>
        </row>
        <row r="238">
          <cell r="B238" t="str">
            <v>BXOYRGNR116982744</v>
          </cell>
          <cell r="C238" t="str">
            <v>B0FKTLNKG1</v>
          </cell>
          <cell r="D238" t="str">
            <v>BOXJOY</v>
          </cell>
          <cell r="E238" t="str">
            <v>Multipurpose Organizer</v>
          </cell>
        </row>
        <row r="239">
          <cell r="B239" t="str">
            <v>BXOYRGNR116982743</v>
          </cell>
          <cell r="C239" t="str">
            <v>B0FKTR8V86</v>
          </cell>
          <cell r="D239" t="str">
            <v>BOXJOY</v>
          </cell>
          <cell r="E239" t="str">
            <v>Multipurpose Organizer</v>
          </cell>
        </row>
        <row r="240">
          <cell r="B240" t="str">
            <v>BXOYRGNR116982741</v>
          </cell>
          <cell r="C240" t="str">
            <v>B0FKTLGWL1</v>
          </cell>
          <cell r="D240" t="str">
            <v>BOXJOY</v>
          </cell>
          <cell r="E240" t="str">
            <v>Multipurpose Organizer</v>
          </cell>
        </row>
        <row r="241">
          <cell r="B241" t="str">
            <v>BXOYRGNR116982740</v>
          </cell>
          <cell r="C241" t="str">
            <v>B0FKTKGZZR</v>
          </cell>
          <cell r="D241" t="str">
            <v>BOXJOY</v>
          </cell>
          <cell r="E241" t="str">
            <v>Multipurpose Organizer</v>
          </cell>
        </row>
        <row r="242">
          <cell r="C242" t="str">
            <v>B0FKTP5GJQ</v>
          </cell>
          <cell r="D242" t="str">
            <v>BOXJOY</v>
          </cell>
          <cell r="E242" t="str">
            <v>Pet Organizer</v>
          </cell>
        </row>
        <row r="243">
          <cell r="B243" t="str">
            <v>BXOYBKSH116981663</v>
          </cell>
          <cell r="C243" t="str">
            <v>B0FKV4NSS2</v>
          </cell>
          <cell r="D243" t="str">
            <v>BOXJOY</v>
          </cell>
          <cell r="E243" t="str">
            <v>Multipurpose Organizer</v>
          </cell>
        </row>
        <row r="244">
          <cell r="B244" t="str">
            <v>BXOYBKSH116981662</v>
          </cell>
          <cell r="C244" t="str">
            <v>B0FKV8QS9W</v>
          </cell>
          <cell r="D244" t="str">
            <v>BOXJOY</v>
          </cell>
          <cell r="E244" t="str">
            <v>Multipurpose Organizer</v>
          </cell>
        </row>
        <row r="245">
          <cell r="C245" t="str">
            <v>B0FKV5FT8D</v>
          </cell>
          <cell r="D245" t="str">
            <v>BOXJOY</v>
          </cell>
          <cell r="E245" t="str">
            <v>Multipurpose Organizer</v>
          </cell>
        </row>
        <row r="246">
          <cell r="B246" t="str">
            <v>PTISFCWH115557861</v>
          </cell>
          <cell r="C246" t="str">
            <v>B0FJ2J1JL6</v>
          </cell>
          <cell r="D246" t="str">
            <v>PROWL</v>
          </cell>
          <cell r="E246" t="str">
            <v>Face Care</v>
          </cell>
        </row>
        <row r="247">
          <cell r="B247" t="str">
            <v>PTISFCSS115557862</v>
          </cell>
          <cell r="C247" t="str">
            <v>B0FJ2BZWXK</v>
          </cell>
          <cell r="D247" t="str">
            <v>PROWL</v>
          </cell>
          <cell r="E247" t="str">
            <v>Face Care</v>
          </cell>
        </row>
        <row r="248">
          <cell r="B248" t="str">
            <v>PTISBWSG115557266</v>
          </cell>
          <cell r="C248" t="str">
            <v>B0FJ2JHL43</v>
          </cell>
          <cell r="D248" t="str">
            <v>PROWL</v>
          </cell>
          <cell r="E248" t="str">
            <v>Body Care</v>
          </cell>
        </row>
        <row r="249">
          <cell r="B249" t="str">
            <v>PTISRLON115557864</v>
          </cell>
          <cell r="C249" t="str">
            <v>B0FJ2JBL4J</v>
          </cell>
          <cell r="D249" t="str">
            <v>PROWL</v>
          </cell>
          <cell r="E249" t="str">
            <v>Body Care</v>
          </cell>
        </row>
        <row r="250">
          <cell r="B250" t="str">
            <v>PTISDYCR115557863</v>
          </cell>
          <cell r="C250" t="str">
            <v>B0FJ2GXG5K</v>
          </cell>
          <cell r="D250" t="str">
            <v>PROWL</v>
          </cell>
          <cell r="E250" t="str">
            <v>Face Care</v>
          </cell>
        </row>
        <row r="251">
          <cell r="B251" t="str">
            <v>PTISLPBL115557860</v>
          </cell>
          <cell r="C251" t="str">
            <v>B0FJ2K6919</v>
          </cell>
          <cell r="D251" t="str">
            <v>PROWL</v>
          </cell>
          <cell r="E251" t="str">
            <v>Face Care</v>
          </cell>
        </row>
        <row r="252">
          <cell r="B252" t="str">
            <v>BXOYRGNR116982739</v>
          </cell>
          <cell r="C252" t="str">
            <v>B0FMD9C9PB</v>
          </cell>
          <cell r="D252" t="str">
            <v>BOXJOY</v>
          </cell>
          <cell r="E252" t="str">
            <v>Multipurpose Organizer</v>
          </cell>
        </row>
        <row r="253">
          <cell r="B253" t="str">
            <v>BXOYRGNR116982738</v>
          </cell>
          <cell r="C253" t="str">
            <v>B0FMDM6QMV</v>
          </cell>
          <cell r="D253" t="str">
            <v>BOXJOY</v>
          </cell>
          <cell r="E253" t="str">
            <v>Multipurpose Organizer</v>
          </cell>
        </row>
      </sheetData>
      <sheetData sheetId="1">
        <row r="1">
          <cell r="A1" t="str">
            <v>ASIN</v>
          </cell>
          <cell r="B1" t="str">
            <v>SKU</v>
          </cell>
          <cell r="C1" t="str">
            <v>Brand</v>
          </cell>
        </row>
        <row r="2">
          <cell r="A2" t="str">
            <v>B0DL5TT3B1</v>
          </cell>
          <cell r="B2" t="str">
            <v>BJFZ0008</v>
          </cell>
          <cell r="C2" t="str">
            <v>BOXJOY</v>
          </cell>
        </row>
        <row r="3">
          <cell r="A3" t="str">
            <v>B0DL5S9NJK</v>
          </cell>
          <cell r="B3" t="str">
            <v>BJFZ0009</v>
          </cell>
          <cell r="C3" t="str">
            <v>BOXJOY</v>
          </cell>
        </row>
        <row r="4">
          <cell r="A4" t="str">
            <v>B0DL5Q78BV</v>
          </cell>
          <cell r="B4" t="str">
            <v>BJFZ0010</v>
          </cell>
          <cell r="C4" t="str">
            <v>BOXJOY</v>
          </cell>
        </row>
        <row r="5">
          <cell r="A5" t="str">
            <v>B0DL5S1HNX</v>
          </cell>
          <cell r="B5" t="str">
            <v>BJFZ0011</v>
          </cell>
          <cell r="C5" t="str">
            <v>BOXJOY</v>
          </cell>
        </row>
        <row r="6">
          <cell r="A6" t="str">
            <v>B0DL5RWSYM</v>
          </cell>
          <cell r="B6" t="str">
            <v>BJFZ0012</v>
          </cell>
          <cell r="C6" t="str">
            <v>BOXJOY</v>
          </cell>
        </row>
        <row r="7">
          <cell r="A7" t="str">
            <v>B0DL5SN9XJ</v>
          </cell>
          <cell r="B7" t="str">
            <v>BJFZ0013</v>
          </cell>
          <cell r="C7" t="str">
            <v>BOXJOY</v>
          </cell>
        </row>
        <row r="8">
          <cell r="A8" t="str">
            <v>B0DLVG2BFS</v>
          </cell>
          <cell r="B8" t="str">
            <v>BJFZ0014</v>
          </cell>
          <cell r="C8" t="str">
            <v>BOXJOY</v>
          </cell>
        </row>
        <row r="9">
          <cell r="A9" t="str">
            <v>B0CG9ZC1WK</v>
          </cell>
          <cell r="B9" t="str">
            <v>TK-RESINKIT-21-300-FBA</v>
          </cell>
          <cell r="C9" t="str">
            <v>TRENDIKRAFT</v>
          </cell>
        </row>
        <row r="10">
          <cell r="A10" t="str">
            <v>B0DLVF925Q</v>
          </cell>
          <cell r="B10" t="str">
            <v>BJFZ0015</v>
          </cell>
          <cell r="C10" t="str">
            <v>BOXJOY</v>
          </cell>
        </row>
        <row r="11">
          <cell r="A11" t="str">
            <v>B0DLVGWRVJ</v>
          </cell>
          <cell r="B11" t="str">
            <v>BJFZ0016</v>
          </cell>
          <cell r="C11" t="str">
            <v>BOXJOY</v>
          </cell>
        </row>
        <row r="12">
          <cell r="A12" t="str">
            <v>B0CQJWCP1Q</v>
          </cell>
          <cell r="B12" t="str">
            <v>TK-RESIN-21-150-ULTIMATE-FBA</v>
          </cell>
          <cell r="C12" t="str">
            <v>TRENDIKRAFT</v>
          </cell>
        </row>
        <row r="13">
          <cell r="A13" t="str">
            <v>B0CQCSDMF3</v>
          </cell>
          <cell r="B13" t="str">
            <v>TK-RESIN-21-150-JEWELKEYCHAIN-FBA</v>
          </cell>
          <cell r="C13" t="str">
            <v>TRENDIKRAFT</v>
          </cell>
        </row>
        <row r="14">
          <cell r="A14" t="str">
            <v>B0DQ5Q7MR5</v>
          </cell>
          <cell r="B14" t="str">
            <v>BJFZ0008-PPWW12S-CLOTHRACK</v>
          </cell>
          <cell r="C14" t="str">
            <v>BOXJOY</v>
          </cell>
        </row>
        <row r="15">
          <cell r="A15" t="str">
            <v>B0DQ5SR3TV</v>
          </cell>
          <cell r="B15" t="str">
            <v>BJFZ0009-PPWT12S-CLOTHRACK</v>
          </cell>
          <cell r="C15" t="str">
            <v>BOXJOY</v>
          </cell>
        </row>
        <row r="16">
          <cell r="A16" t="str">
            <v>B0DQ5TMTZV</v>
          </cell>
          <cell r="B16" t="str">
            <v>BJFZ0010-PPBT12S-CLOTHRACK</v>
          </cell>
          <cell r="C16" t="str">
            <v>BOXJOY</v>
          </cell>
        </row>
        <row r="17">
          <cell r="A17" t="str">
            <v>B0DQ5RD863</v>
          </cell>
          <cell r="B17" t="str">
            <v>BJFZ0011-PPWW8S-CLOTHRACK</v>
          </cell>
          <cell r="C17" t="str">
            <v>BOXJOY</v>
          </cell>
        </row>
        <row r="18">
          <cell r="A18" t="str">
            <v>B0DQ5LK5T9</v>
          </cell>
          <cell r="B18" t="str">
            <v>BJFZ0012-PPWT8S-CLOTHRACK</v>
          </cell>
          <cell r="C18" t="str">
            <v>BOXJOY</v>
          </cell>
        </row>
        <row r="19">
          <cell r="A19" t="str">
            <v>B0DQ5PK895</v>
          </cell>
          <cell r="B19" t="str">
            <v>BJFZ0013-PPBT8S-CLOTHRACK</v>
          </cell>
          <cell r="C19" t="str">
            <v>BOXJOY</v>
          </cell>
        </row>
        <row r="20">
          <cell r="A20" t="str">
            <v>B0DQ5MCP6Y</v>
          </cell>
          <cell r="B20" t="str">
            <v>BJFZ0014-PPWW5S-CLOTHRACK</v>
          </cell>
          <cell r="C20" t="str">
            <v>BOXJOY</v>
          </cell>
        </row>
        <row r="21">
          <cell r="A21" t="str">
            <v>B0DQ5T31BF</v>
          </cell>
          <cell r="B21" t="str">
            <v>BJFZ0015-PPWT5S-CLOTHRACK</v>
          </cell>
          <cell r="C21" t="str">
            <v>BOXJOY</v>
          </cell>
        </row>
        <row r="22">
          <cell r="A22" t="str">
            <v>B0DQ5KFMBQ</v>
          </cell>
          <cell r="B22" t="str">
            <v>BJFZ0016-PPBT5S-CLOTHRACK</v>
          </cell>
          <cell r="C22" t="str">
            <v>BOXJOY</v>
          </cell>
        </row>
        <row r="23">
          <cell r="A23" t="str">
            <v>B0DR9JFTPF</v>
          </cell>
          <cell r="B23" t="str">
            <v>BJWZ0022-PCLG110</v>
          </cell>
          <cell r="C23" t="str">
            <v>BOXJOY</v>
          </cell>
        </row>
        <row r="24">
          <cell r="A24" t="str">
            <v>B0CG9TF4MK</v>
          </cell>
          <cell r="B24" t="str">
            <v>TK-RESINKIT-21-750</v>
          </cell>
          <cell r="C24" t="str">
            <v>TRENDIKRAFT</v>
          </cell>
        </row>
        <row r="25">
          <cell r="A25" t="str">
            <v>B0CQJWKMY8</v>
          </cell>
          <cell r="B25" t="str">
            <v>TK-RESIN-21-150-ALPHABETCHARM-FBA</v>
          </cell>
          <cell r="C25" t="str">
            <v>TRENDIKRAFT</v>
          </cell>
        </row>
        <row r="26">
          <cell r="A26" t="str">
            <v>B0DR9NWCKG</v>
          </cell>
          <cell r="B26" t="str">
            <v>BJWZ0021-PCLG66L</v>
          </cell>
          <cell r="C26" t="str">
            <v>BOXJOY</v>
          </cell>
        </row>
        <row r="27">
          <cell r="A27" t="str">
            <v>B0DR9MVW7T</v>
          </cell>
          <cell r="B27" t="str">
            <v>BJWZ0019-POLG110</v>
          </cell>
          <cell r="C27" t="str">
            <v>BOXJOY</v>
          </cell>
        </row>
        <row r="28">
          <cell r="A28" t="str">
            <v>B0DR9K9F2S</v>
          </cell>
          <cell r="B28" t="str">
            <v>BJWZ0018-POLG66L</v>
          </cell>
          <cell r="C28" t="str">
            <v>BOXJOY</v>
          </cell>
        </row>
        <row r="29">
          <cell r="A29" t="str">
            <v>B0DR9JSKGQ</v>
          </cell>
          <cell r="B29" t="str">
            <v>BJWZ0017-POLG24L</v>
          </cell>
          <cell r="C29" t="str">
            <v>BOXJOY</v>
          </cell>
        </row>
        <row r="30">
          <cell r="A30" t="str">
            <v>B0DR9L29BG</v>
          </cell>
          <cell r="B30" t="str">
            <v>BJWZ0016-PVTR110</v>
          </cell>
          <cell r="C30" t="str">
            <v>BOXJOY</v>
          </cell>
        </row>
        <row r="31">
          <cell r="A31" t="str">
            <v>B0CG9VWGBT</v>
          </cell>
          <cell r="B31" t="str">
            <v>TK-RESINKIT-31-1200</v>
          </cell>
          <cell r="C31" t="str">
            <v>TRENDIKRAFT</v>
          </cell>
        </row>
        <row r="32">
          <cell r="A32" t="str">
            <v>B0DR9LHJ95</v>
          </cell>
          <cell r="B32" t="str">
            <v>BJWZ0015-PVTR66L</v>
          </cell>
          <cell r="C32" t="str">
            <v>BOXJOY</v>
          </cell>
        </row>
        <row r="33">
          <cell r="A33" t="str">
            <v>B0DR9KS9JM</v>
          </cell>
          <cell r="B33" t="str">
            <v>BJWZ0014-PVTR24L</v>
          </cell>
          <cell r="C33" t="str">
            <v>BOXJOY</v>
          </cell>
        </row>
        <row r="34">
          <cell r="A34" t="str">
            <v>B0DR9LNWY7</v>
          </cell>
          <cell r="B34" t="str">
            <v>BJWZ0012-PCLGSTL-P1</v>
          </cell>
          <cell r="C34" t="str">
            <v>BOXJOY</v>
          </cell>
        </row>
        <row r="35">
          <cell r="A35" t="str">
            <v>B0CQJWV4PD</v>
          </cell>
          <cell r="B35" t="str">
            <v>TK-RESIN-21-150-TWINCOASTER-FBA</v>
          </cell>
          <cell r="C35" t="str">
            <v>TRENDIKRAFT</v>
          </cell>
        </row>
        <row r="36">
          <cell r="A36" t="str">
            <v>B0DR9N7Q8F</v>
          </cell>
          <cell r="B36" t="str">
            <v>BJWZ0012-PCLGSTL-P2</v>
          </cell>
          <cell r="C36" t="str">
            <v>BOXJOY</v>
          </cell>
        </row>
        <row r="37">
          <cell r="A37" t="str">
            <v>B0DR9LGNRD</v>
          </cell>
          <cell r="B37" t="str">
            <v>BJWZ0012-PCLGSTL-P4</v>
          </cell>
          <cell r="C37" t="str">
            <v>BOXJOY</v>
          </cell>
        </row>
        <row r="38">
          <cell r="A38" t="str">
            <v>B0DR9LZH6P</v>
          </cell>
          <cell r="B38" t="str">
            <v>BJWZ0012-PCLGSTL-P6</v>
          </cell>
          <cell r="C38" t="str">
            <v>BOXJOY</v>
          </cell>
        </row>
        <row r="39">
          <cell r="A39" t="str">
            <v>B0DR9KFG48</v>
          </cell>
          <cell r="B39" t="str">
            <v>BJWZ0010-OXGYSTL-P1</v>
          </cell>
          <cell r="C39" t="str">
            <v>BOXJOY</v>
          </cell>
        </row>
        <row r="40">
          <cell r="A40" t="str">
            <v>B0CG9XZS42</v>
          </cell>
          <cell r="B40" t="str">
            <v>TK-RESINKIT-31-400</v>
          </cell>
          <cell r="C40" t="str">
            <v>TRENDIKRAFT</v>
          </cell>
        </row>
        <row r="41">
          <cell r="A41" t="str">
            <v>B0DR9LL896</v>
          </cell>
          <cell r="B41" t="str">
            <v>BJWZ0010-OXGYSTL-P2</v>
          </cell>
          <cell r="C41" t="str">
            <v>BOXJOY</v>
          </cell>
        </row>
        <row r="42">
          <cell r="A42" t="str">
            <v>B0DR9HSWP3</v>
          </cell>
          <cell r="B42" t="str">
            <v>BJWZ0010-OXGYSTL-P4</v>
          </cell>
          <cell r="C42" t="str">
            <v>BOXJOY</v>
          </cell>
        </row>
        <row r="43">
          <cell r="A43" t="str">
            <v>B0DR9P2H1V</v>
          </cell>
          <cell r="B43" t="str">
            <v>BJWZ0010-OXGYSTL-P6</v>
          </cell>
          <cell r="C43" t="str">
            <v>BOXJOY</v>
          </cell>
        </row>
        <row r="44">
          <cell r="A44" t="str">
            <v>B0DR9MW2KT</v>
          </cell>
          <cell r="B44" t="str">
            <v>BJWZ0008-PVTRSTL-P1</v>
          </cell>
          <cell r="C44" t="str">
            <v>BOXJOY</v>
          </cell>
        </row>
        <row r="45">
          <cell r="A45" t="str">
            <v>B0CG9WX5YY</v>
          </cell>
          <cell r="B45" t="str">
            <v>TK-RESINKIT-21-1500</v>
          </cell>
          <cell r="C45" t="str">
            <v>TRENDIKRAFT</v>
          </cell>
        </row>
        <row r="46">
          <cell r="A46" t="str">
            <v>B0CG9T2RQJ</v>
          </cell>
          <cell r="B46" t="str">
            <v>TK-RESINKIT-21-150</v>
          </cell>
          <cell r="C46" t="str">
            <v>TRENDIKRAFT</v>
          </cell>
        </row>
        <row r="47">
          <cell r="A47" t="str">
            <v>B0DR9KDFXJ</v>
          </cell>
          <cell r="B47" t="str">
            <v>BJWZ0008-PVTRSTL-P2</v>
          </cell>
          <cell r="C47" t="str">
            <v>BOXJOY</v>
          </cell>
        </row>
        <row r="48">
          <cell r="A48" t="str">
            <v>B0DR9MKR78</v>
          </cell>
          <cell r="B48" t="str">
            <v>BJWZ0008-PVTRSTL-P4</v>
          </cell>
          <cell r="C48" t="str">
            <v>BOXJOY</v>
          </cell>
        </row>
        <row r="49">
          <cell r="A49" t="str">
            <v>B0DRCZSP6Q</v>
          </cell>
          <cell r="B49" t="str">
            <v>BJWZ0008-PVTRSTL-P6</v>
          </cell>
          <cell r="C49" t="str">
            <v>BOXJOY</v>
          </cell>
        </row>
        <row r="50">
          <cell r="A50" t="str">
            <v>B0DR9MG4MS</v>
          </cell>
          <cell r="B50" t="str">
            <v>BJWZ0004-POLG13G</v>
          </cell>
          <cell r="C50" t="str">
            <v>BOXJOY</v>
          </cell>
        </row>
        <row r="51">
          <cell r="A51" t="str">
            <v>B0DR9MKPYZ</v>
          </cell>
          <cell r="B51" t="str">
            <v>BJWZ0003-POLG17G</v>
          </cell>
          <cell r="C51" t="str">
            <v>BOXJOY</v>
          </cell>
        </row>
        <row r="52">
          <cell r="A52" t="str">
            <v>B0DR9BGVDJ</v>
          </cell>
          <cell r="B52" t="str">
            <v>BJWZ0026-VBTRMLJ</v>
          </cell>
          <cell r="C52" t="str">
            <v>BOXJOY</v>
          </cell>
        </row>
        <row r="53">
          <cell r="A53" t="str">
            <v>B0CGJKKT68</v>
          </cell>
          <cell r="B53" t="str">
            <v>TK-TAPE-ALUMINIUM-5M-2INCH</v>
          </cell>
          <cell r="C53" t="str">
            <v>TRENDIKRAFT</v>
          </cell>
        </row>
        <row r="54">
          <cell r="A54" t="str">
            <v>B0D6YXXQFN</v>
          </cell>
          <cell r="B54" t="str">
            <v>TK-TAPE-ALUMINIUM-3M-2INCH</v>
          </cell>
          <cell r="C54" t="str">
            <v>TRENDIKRAFT</v>
          </cell>
        </row>
        <row r="55">
          <cell r="A55" t="str">
            <v>B0CGJH5C7Q</v>
          </cell>
          <cell r="B55" t="str">
            <v>TK-TAPE-ACRYLIC-5M-12MM-2MM</v>
          </cell>
          <cell r="C55" t="str">
            <v>TRENDIKRAFT</v>
          </cell>
        </row>
        <row r="56">
          <cell r="A56" t="str">
            <v>B0CGJKMXHF</v>
          </cell>
          <cell r="B56" t="str">
            <v>TK-TAPE-ELECTRICAL-6M-6CM-PACK3</v>
          </cell>
          <cell r="C56" t="str">
            <v>TRENDIKRAFT</v>
          </cell>
        </row>
        <row r="57">
          <cell r="A57" t="str">
            <v>B0D6NF4V43</v>
          </cell>
          <cell r="B57" t="str">
            <v>TK-TAPE-ELECTRICAL-6M-17MM-PACK6</v>
          </cell>
          <cell r="C57" t="str">
            <v>TRENDIKRAFT</v>
          </cell>
        </row>
        <row r="58">
          <cell r="A58" t="str">
            <v>B0CGJJJ9RJ</v>
          </cell>
          <cell r="B58" t="str">
            <v>TK-TAPE-DUCT-25M-48MM</v>
          </cell>
          <cell r="C58" t="str">
            <v>TRENDIKRAFT</v>
          </cell>
        </row>
        <row r="59">
          <cell r="A59" t="str">
            <v>B0CGJYXQQX</v>
          </cell>
          <cell r="B59" t="str">
            <v>TK-TAPE-TISSUE-50M-1INCH</v>
          </cell>
          <cell r="C59" t="str">
            <v>TRENDIKRAFT</v>
          </cell>
        </row>
        <row r="60">
          <cell r="A60" t="str">
            <v>B0CGJQVYR2</v>
          </cell>
          <cell r="B60" t="str">
            <v>TK-TAPE-MASKING-20M-12MM-PACK3</v>
          </cell>
          <cell r="C60" t="str">
            <v>TRENDIKRAFT</v>
          </cell>
        </row>
        <row r="61">
          <cell r="A61" t="str">
            <v>B0CGJHHFD3</v>
          </cell>
          <cell r="B61" t="str">
            <v>TK-TAPE-MASKING-20M-24MM-PACK3</v>
          </cell>
          <cell r="C61" t="str">
            <v>TRENDIKRAFT</v>
          </cell>
        </row>
        <row r="62">
          <cell r="A62" t="str">
            <v>B0CGJJQRS1</v>
          </cell>
          <cell r="B62" t="str">
            <v>TK-TAPE-ANTISKID-5M-50MM-BLACK-FBA</v>
          </cell>
          <cell r="C62" t="str">
            <v>TRENDIKRAFT</v>
          </cell>
        </row>
        <row r="63">
          <cell r="A63" t="str">
            <v>B0CGJQXTY5</v>
          </cell>
          <cell r="B63" t="str">
            <v>TK-TAPE-ANTISKID-5M-50MM-GLOW-FBA</v>
          </cell>
          <cell r="C63" t="str">
            <v>TRENDIKRAFT</v>
          </cell>
        </row>
        <row r="64">
          <cell r="A64" t="str">
            <v>B0D6GRS5SK</v>
          </cell>
          <cell r="B64" t="str">
            <v>TK-TAPE-ANTISKID-5M-50MM-YELLOW-FBA</v>
          </cell>
          <cell r="C64" t="str">
            <v>TRENDIKRAFT</v>
          </cell>
        </row>
        <row r="65">
          <cell r="A65" t="str">
            <v>B0D6GS7ZDV</v>
          </cell>
          <cell r="B65" t="str">
            <v>TK-TAPE-ANTISKID-5M-50MM-TRANS-FBA</v>
          </cell>
          <cell r="C65" t="str">
            <v>TRENDIKRAFT</v>
          </cell>
        </row>
        <row r="66">
          <cell r="A66" t="str">
            <v>B0D6GSWFX3</v>
          </cell>
          <cell r="B66" t="str">
            <v>TK-TAPE-ANTISKID-5M-50MM-YL-BLACK-FBA</v>
          </cell>
          <cell r="C66" t="str">
            <v>TRENDIKRAFT</v>
          </cell>
        </row>
        <row r="67">
          <cell r="A67" t="str">
            <v>B0DBZQ6L2S</v>
          </cell>
          <cell r="B67" t="str">
            <v>TK-TAPE-ANTISKID-18M-50MM-BLACK-FBA</v>
          </cell>
          <cell r="C67" t="str">
            <v>TRENDIKRAFT</v>
          </cell>
        </row>
        <row r="68">
          <cell r="A68" t="str">
            <v>B0DBZLRJDX</v>
          </cell>
          <cell r="B68" t="str">
            <v>TK-TAPE-ANTISKID-18M-50MM-GLOW</v>
          </cell>
          <cell r="C68" t="str">
            <v>TRENDIKRAFT</v>
          </cell>
        </row>
        <row r="69">
          <cell r="A69" t="str">
            <v>B0DBZN5RPW</v>
          </cell>
          <cell r="B69" t="str">
            <v>TK-TAPE-ANTISKID-18M-50MM-YELLOW-FBA</v>
          </cell>
          <cell r="C69" t="str">
            <v>TRENDIKRAFT</v>
          </cell>
        </row>
        <row r="70">
          <cell r="A70" t="str">
            <v>B0DBZL8YDM</v>
          </cell>
          <cell r="B70" t="str">
            <v>TK-TAPE-ANTISKID-18M-50MM-TRANS-FBA</v>
          </cell>
          <cell r="C70" t="str">
            <v>TRENDIKRAFT</v>
          </cell>
        </row>
        <row r="71">
          <cell r="A71" t="str">
            <v>B0DBZNH23M</v>
          </cell>
          <cell r="B71" t="str">
            <v>TK-TAPE-ANTISKID-18M-50MM-YELLOW-BLACK</v>
          </cell>
          <cell r="C71" t="str">
            <v>TRENDIKRAFT</v>
          </cell>
        </row>
        <row r="72">
          <cell r="A72" t="str">
            <v>B0CGJJB6WD</v>
          </cell>
          <cell r="B72" t="str">
            <v>TK-TAPE-TEFLON-10M-12MM</v>
          </cell>
          <cell r="C72" t="str">
            <v>TRENDIKRAFT</v>
          </cell>
        </row>
        <row r="73">
          <cell r="A73" t="str">
            <v>B0CGJS4YPF</v>
          </cell>
          <cell r="B73" t="str">
            <v>TK-TAPE-KRAFTPAPER-50M-2INCH</v>
          </cell>
          <cell r="C73" t="str">
            <v>TRENDIKRAFT</v>
          </cell>
        </row>
        <row r="74">
          <cell r="A74" t="str">
            <v>B0CGJHWRJL</v>
          </cell>
          <cell r="B74" t="str">
            <v>TK-TAPE-FLOORMARKING-ZEBRA-15M-2INCH</v>
          </cell>
          <cell r="C74" t="str">
            <v>TRENDIKRAFT</v>
          </cell>
        </row>
        <row r="75">
          <cell r="A75" t="str">
            <v>B0CGT4V35W</v>
          </cell>
          <cell r="B75" t="str">
            <v>TK-TAPE-BOPP-TRANS-65M-3INCH-P1</v>
          </cell>
          <cell r="C75" t="str">
            <v>TRENDIKRAFT</v>
          </cell>
        </row>
        <row r="76">
          <cell r="A76" t="str">
            <v>B0CGTD4KVC</v>
          </cell>
          <cell r="B76" t="str">
            <v>TK-TAPE-BOPP-TRANS-65M-3INCH-P4</v>
          </cell>
          <cell r="C76" t="str">
            <v>TRENDIKRAFT</v>
          </cell>
        </row>
        <row r="77">
          <cell r="A77" t="str">
            <v>B0CGTP1KTR</v>
          </cell>
          <cell r="B77" t="str">
            <v>TK-TAPE-BOPP-TRANS-65M-3INCH-P12</v>
          </cell>
          <cell r="C77" t="str">
            <v>TRENDIKRAFT</v>
          </cell>
        </row>
        <row r="78">
          <cell r="A78" t="str">
            <v>B0CGT98MYW</v>
          </cell>
          <cell r="B78" t="str">
            <v>TK-TAPE-BOPP-TRANS-65M-3INCH-P24</v>
          </cell>
          <cell r="C78" t="str">
            <v>TRENDIKRAFT</v>
          </cell>
        </row>
        <row r="79">
          <cell r="A79" t="str">
            <v>B0CGTGXL9Z</v>
          </cell>
          <cell r="B79" t="str">
            <v>TK-TAPE-BOPP-TRANS-65M-3INCH-P48</v>
          </cell>
          <cell r="C79" t="str">
            <v>TRENDIKRAFT</v>
          </cell>
        </row>
        <row r="80">
          <cell r="A80" t="str">
            <v>B0CGTBL1QC</v>
          </cell>
          <cell r="B80" t="str">
            <v>TK-TAPE-BOPP-TRANS-65M-2INCH-P2</v>
          </cell>
          <cell r="C80" t="str">
            <v>TRENDIKRAFT</v>
          </cell>
        </row>
        <row r="81">
          <cell r="A81" t="str">
            <v>B0CGTL2J38</v>
          </cell>
          <cell r="B81" t="str">
            <v>TK-TAPE-BOPP-TRANS-65M-2INCH-P6</v>
          </cell>
          <cell r="C81" t="str">
            <v>TRENDIKRAFT</v>
          </cell>
        </row>
        <row r="82">
          <cell r="A82" t="str">
            <v>B0CGTFP796</v>
          </cell>
          <cell r="B82" t="str">
            <v>TK-TAPE-BOPP-TRANS-65M-2INCH-P12</v>
          </cell>
          <cell r="C82" t="str">
            <v>TRENDIKRAFT</v>
          </cell>
        </row>
        <row r="83">
          <cell r="A83" t="str">
            <v>B0CGTPZ5NK</v>
          </cell>
          <cell r="B83" t="str">
            <v>TK-TAPE-BOPP-TRANS-65M-2INCH-P24</v>
          </cell>
          <cell r="C83" t="str">
            <v>TRENDIKRAFT</v>
          </cell>
        </row>
        <row r="84">
          <cell r="A84" t="str">
            <v>B0CGT58FQL</v>
          </cell>
          <cell r="B84" t="str">
            <v>TK-TAPE-BOPP-TRANS-65M-2INCH-P48</v>
          </cell>
          <cell r="C84" t="str">
            <v>TRENDIKRAFT</v>
          </cell>
        </row>
        <row r="85">
          <cell r="A85" t="str">
            <v>B0CGTKKNW4</v>
          </cell>
          <cell r="B85" t="str">
            <v>TK-TAPE-BOPP-TRANS-65M-2INCH-P72</v>
          </cell>
          <cell r="C85" t="str">
            <v>TRENDIKRAFT</v>
          </cell>
        </row>
        <row r="86">
          <cell r="A86" t="str">
            <v>B0CGTD7BDJ</v>
          </cell>
          <cell r="B86" t="str">
            <v>TK-TAPE-BOPP-TRANS-65M-1INCH-P3</v>
          </cell>
          <cell r="C86" t="str">
            <v>TRENDIKRAFT</v>
          </cell>
        </row>
        <row r="87">
          <cell r="A87" t="str">
            <v>B0CGTBX83Z</v>
          </cell>
          <cell r="B87" t="str">
            <v>TK-TAPE-BOPP-TRANS-65M-1INCH-P12</v>
          </cell>
          <cell r="C87" t="str">
            <v>TRENDIKRAFT</v>
          </cell>
        </row>
        <row r="88">
          <cell r="A88" t="str">
            <v>B0CGT5BX9H</v>
          </cell>
          <cell r="B88" t="str">
            <v>TK-TAPE-BOPP-TRANS-65M-1INCH-P24</v>
          </cell>
          <cell r="C88" t="str">
            <v>TRENDIKRAFT</v>
          </cell>
        </row>
        <row r="89">
          <cell r="A89" t="str">
            <v>B0CGTNZFKB</v>
          </cell>
          <cell r="B89" t="str">
            <v>TK-TAPE-BOPP-TRANS-65M-1INCH-P48</v>
          </cell>
          <cell r="C89" t="str">
            <v>TRENDIKRAFT</v>
          </cell>
        </row>
        <row r="90">
          <cell r="A90" t="str">
            <v>B0CGTGF93W</v>
          </cell>
          <cell r="B90" t="str">
            <v>TK-TAPE-BOPP-TRANS-65M-1INCH-P72</v>
          </cell>
          <cell r="C90" t="str">
            <v>TRENDIKRAFT</v>
          </cell>
        </row>
        <row r="91">
          <cell r="A91" t="str">
            <v>B0CGTF9RBD</v>
          </cell>
          <cell r="B91" t="str">
            <v>TK-TAPE-BOPP-TRANS-65M-1INCH-P144</v>
          </cell>
          <cell r="C91" t="str">
            <v>TRENDIKRAFT</v>
          </cell>
        </row>
        <row r="92">
          <cell r="A92" t="str">
            <v>B0CGT6W1ZW</v>
          </cell>
          <cell r="B92" t="str">
            <v>TK-TAPE-BOPP-TRANS-65M-1/2INCH-P6</v>
          </cell>
          <cell r="C92" t="str">
            <v>TRENDIKRAFT</v>
          </cell>
        </row>
        <row r="93">
          <cell r="A93" t="str">
            <v>B0CGTK1W99</v>
          </cell>
          <cell r="B93" t="str">
            <v>TK-TAPE-BOPP-TRANS-65M-1/2INCH-P12</v>
          </cell>
          <cell r="C93" t="str">
            <v>TRENDIKRAFT</v>
          </cell>
        </row>
        <row r="94">
          <cell r="A94" t="str">
            <v>B0CGT8B6P2</v>
          </cell>
          <cell r="B94" t="str">
            <v>TK-TAPE-BOPP-TRANS-65M-1/2INCH-P24</v>
          </cell>
          <cell r="C94" t="str">
            <v>TRENDIKRAFT</v>
          </cell>
        </row>
        <row r="95">
          <cell r="A95" t="str">
            <v>B0CGTJ3DH2</v>
          </cell>
          <cell r="B95" t="str">
            <v>TK-TAPE-BOPP-TRANS-65M-1/2INCH-P48</v>
          </cell>
          <cell r="C95" t="str">
            <v>TRENDIKRAFT</v>
          </cell>
        </row>
        <row r="96">
          <cell r="A96" t="str">
            <v>B0CGT9K2NL</v>
          </cell>
          <cell r="B96" t="str">
            <v>TK-TAPE-BOPP-TRANS-65M-1/2INCH-P72</v>
          </cell>
          <cell r="C96" t="str">
            <v>TRENDIKRAFT</v>
          </cell>
        </row>
        <row r="97">
          <cell r="A97" t="str">
            <v>B0CGTCMP5G</v>
          </cell>
          <cell r="B97" t="str">
            <v>TK-TAPE-BOPP-TRANS-65M-1/2INCH-P144</v>
          </cell>
          <cell r="C97" t="str">
            <v>TRENDIKRAFT</v>
          </cell>
        </row>
        <row r="98">
          <cell r="A98" t="str">
            <v>B0CGTM344L</v>
          </cell>
          <cell r="B98" t="str">
            <v>TK-TAPE-BOPP-TRANS-65M-1/2INCH-P288</v>
          </cell>
          <cell r="C98" t="str">
            <v>TRENDIKRAFT</v>
          </cell>
        </row>
        <row r="99">
          <cell r="A99" t="str">
            <v>B0CGTBK3HT</v>
          </cell>
          <cell r="B99" t="str">
            <v>TK-TAPE-BOPP-BROWN-65M-3INCH-P1</v>
          </cell>
          <cell r="C99" t="str">
            <v>TRENDIKRAFT</v>
          </cell>
        </row>
        <row r="100">
          <cell r="A100" t="str">
            <v>B0CGTCTT6F</v>
          </cell>
          <cell r="B100" t="str">
            <v>TK-TAPE-BOPP-BROWN-65M-3INCH-P4</v>
          </cell>
          <cell r="C100" t="str">
            <v>TRENDIKRAFT</v>
          </cell>
        </row>
        <row r="101">
          <cell r="A101" t="str">
            <v>B0CGTHZMWK</v>
          </cell>
          <cell r="B101" t="str">
            <v>TK-TAPE-BOPP-BROWN-65M-3INCH-P12</v>
          </cell>
          <cell r="C101" t="str">
            <v>TRENDIKRAFT</v>
          </cell>
        </row>
        <row r="102">
          <cell r="A102" t="str">
            <v>B0CGT9S4K9</v>
          </cell>
          <cell r="B102" t="str">
            <v>TK-TAPE-BOPP-BROWN-65M-3INCH-P24</v>
          </cell>
          <cell r="C102" t="str">
            <v>TRENDIKRAFT</v>
          </cell>
        </row>
        <row r="103">
          <cell r="A103" t="str">
            <v>B0CGTF85ZM</v>
          </cell>
          <cell r="B103" t="str">
            <v>TK-TAPE-BOPP-BROWN-65M-3INCH-P48</v>
          </cell>
          <cell r="C103" t="str">
            <v>TRENDIKRAFT</v>
          </cell>
        </row>
        <row r="104">
          <cell r="A104" t="str">
            <v>B0CGTRKLD9</v>
          </cell>
          <cell r="B104" t="str">
            <v>TK-TAPE-BOPP-BROWN-65M-2INCH-P2</v>
          </cell>
          <cell r="C104" t="str">
            <v>TRENDIKRAFT</v>
          </cell>
        </row>
        <row r="105">
          <cell r="A105" t="str">
            <v>B0CGT5HMLK</v>
          </cell>
          <cell r="B105" t="str">
            <v>TK-TAPE-BOPP-BROWN-65M-2INCH-P6</v>
          </cell>
          <cell r="C105" t="str">
            <v>TRENDIKRAFT</v>
          </cell>
        </row>
        <row r="106">
          <cell r="A106" t="str">
            <v>B0CGT6KNZB</v>
          </cell>
          <cell r="B106" t="str">
            <v>TK-TAPE-BOPP-BROWN-65M-2INCH-P12</v>
          </cell>
          <cell r="C106" t="str">
            <v>TRENDIKRAFT</v>
          </cell>
        </row>
        <row r="107">
          <cell r="A107" t="str">
            <v>B0CGTHR7SJ</v>
          </cell>
          <cell r="B107" t="str">
            <v>TK-TAPE-BOPP-BROWN-65M-2INCH-P24</v>
          </cell>
          <cell r="C107" t="str">
            <v>TRENDIKRAFT</v>
          </cell>
        </row>
        <row r="108">
          <cell r="A108" t="str">
            <v>B0CGTLK5LW</v>
          </cell>
          <cell r="B108" t="str">
            <v>TK-TAPE-BOPP-BROWN-65M-2INCH-P48</v>
          </cell>
          <cell r="C108" t="str">
            <v>TRENDIKRAFT</v>
          </cell>
        </row>
        <row r="109">
          <cell r="A109" t="str">
            <v>B0CGT9DG4F</v>
          </cell>
          <cell r="B109" t="str">
            <v>TK-TAPE-BOPP-BROWN-65M-2INCH-P72</v>
          </cell>
          <cell r="C109" t="str">
            <v>TRENDIKRAFT</v>
          </cell>
        </row>
        <row r="110">
          <cell r="A110" t="str">
            <v>B0CGTBJS6N</v>
          </cell>
          <cell r="B110" t="str">
            <v>TK-TAPE-BOPP-BROWN-65M-1INCH-P3</v>
          </cell>
          <cell r="C110" t="str">
            <v>TRENDIKRAFT</v>
          </cell>
        </row>
        <row r="111">
          <cell r="A111" t="str">
            <v>B0CGTBX846</v>
          </cell>
          <cell r="B111" t="str">
            <v>TK-TAPE-BOPP-BROWN-65M-1INCH-P12</v>
          </cell>
          <cell r="C111" t="str">
            <v>TRENDIKRAFT</v>
          </cell>
        </row>
        <row r="112">
          <cell r="A112" t="str">
            <v>B0CGT6XW6S</v>
          </cell>
          <cell r="B112" t="str">
            <v>TK-TAPE-BOPP-BROWN-65M-1INCH-P24</v>
          </cell>
          <cell r="C112" t="str">
            <v>TRENDIKRAFT</v>
          </cell>
        </row>
        <row r="113">
          <cell r="A113" t="str">
            <v>B0CGT9PZHY</v>
          </cell>
          <cell r="B113" t="str">
            <v>TK-TAPE-BOPP-BROWN-65M-1INCH-P48</v>
          </cell>
          <cell r="C113" t="str">
            <v>TRENDIKRAFT</v>
          </cell>
        </row>
        <row r="114">
          <cell r="A114" t="str">
            <v>B0CGT9G6QV</v>
          </cell>
          <cell r="B114" t="str">
            <v>TK-TAPE-BOPP-BROWN-65M-1INCH-P72</v>
          </cell>
          <cell r="C114" t="str">
            <v>TRENDIKRAFT</v>
          </cell>
        </row>
        <row r="115">
          <cell r="A115" t="str">
            <v>B0CGT7R6H5</v>
          </cell>
          <cell r="B115" t="str">
            <v>TK-TAPE-BOPP-BROWN-65M-1INCH-P144</v>
          </cell>
          <cell r="C115" t="str">
            <v>TRENDIKRAFT</v>
          </cell>
        </row>
        <row r="116">
          <cell r="A116" t="str">
            <v>B0CGT9WP4R</v>
          </cell>
          <cell r="B116" t="str">
            <v>TK-TAPE-BOPP-BROWN-65M-1/2INCH-P6</v>
          </cell>
          <cell r="C116" t="str">
            <v>TRENDIKRAFT</v>
          </cell>
        </row>
        <row r="117">
          <cell r="A117" t="str">
            <v>B0CGTKN84W</v>
          </cell>
          <cell r="B117" t="str">
            <v>TK-TAPE-BOPP-BROWN-65M-1/2INCH-P12</v>
          </cell>
          <cell r="C117" t="str">
            <v>TRENDIKRAFT</v>
          </cell>
        </row>
        <row r="118">
          <cell r="A118" t="str">
            <v>B0CGTBQVPQ</v>
          </cell>
          <cell r="B118" t="str">
            <v>TK-TAPE-BOPP-BROWN-65M-1/2INCH-P24</v>
          </cell>
          <cell r="C118" t="str">
            <v>TRENDIKRAFT</v>
          </cell>
        </row>
        <row r="119">
          <cell r="A119" t="str">
            <v>B0CGT7MH7L</v>
          </cell>
          <cell r="B119" t="str">
            <v>TK-TAPE-BOPP-BROWN-65M-1/2INCH-P48</v>
          </cell>
          <cell r="C119" t="str">
            <v>TRENDIKRAFT</v>
          </cell>
        </row>
        <row r="120">
          <cell r="A120" t="str">
            <v>B0CGTLWWND</v>
          </cell>
          <cell r="B120" t="str">
            <v>TK-TAPE-BOPP-BROWN-65M-1/2INCH-P72</v>
          </cell>
          <cell r="C120" t="str">
            <v>TRENDIKRAFT</v>
          </cell>
        </row>
        <row r="121">
          <cell r="A121" t="str">
            <v>B0CGTFPMNV</v>
          </cell>
          <cell r="B121" t="str">
            <v>TK-TAPE-BOPP-BROWN-65M-1/2INCH-P144</v>
          </cell>
          <cell r="C121" t="str">
            <v>TRENDIKRAFT</v>
          </cell>
        </row>
        <row r="122">
          <cell r="A122" t="str">
            <v>B0CGTM1SQ9</v>
          </cell>
          <cell r="B122" t="str">
            <v>TK-TAPE-BOPP-BROWN-65M-1/2INCH-P288</v>
          </cell>
          <cell r="C122" t="str">
            <v>TRENDIKRAFT</v>
          </cell>
        </row>
        <row r="123">
          <cell r="A123" t="str">
            <v>B0D6NDZJV3</v>
          </cell>
          <cell r="B123" t="str">
            <v>TK-TAPE-DOUBLESIDEDTAPE-COMBO</v>
          </cell>
          <cell r="C123" t="str">
            <v>TRENDIKRAFT</v>
          </cell>
        </row>
        <row r="124">
          <cell r="A124" t="str">
            <v>B0D78TTGCD</v>
          </cell>
          <cell r="B124" t="str">
            <v>TK-TAPE-VASTU-COMBO-4INCH-15MTR-FBA</v>
          </cell>
          <cell r="C124" t="str">
            <v>TRENDIKRAFT</v>
          </cell>
        </row>
        <row r="125">
          <cell r="A125" t="str">
            <v>B0D78YGBG8</v>
          </cell>
          <cell r="B125" t="str">
            <v>TK-TAPE-VASTU-RED-4INCH-15MTR</v>
          </cell>
          <cell r="C125" t="str">
            <v>TRENDIKRAFT</v>
          </cell>
        </row>
        <row r="126">
          <cell r="A126" t="str">
            <v>B0D78ZQ3HR</v>
          </cell>
          <cell r="B126" t="str">
            <v>TK-TAPE-VASTU-GREEN-4INCH-15MTR</v>
          </cell>
          <cell r="C126" t="str">
            <v>TRENDIKRAFT</v>
          </cell>
        </row>
        <row r="127">
          <cell r="A127" t="str">
            <v>B0D78Y95TG</v>
          </cell>
          <cell r="B127" t="str">
            <v>TK-TAPE-VASTU-BLUE-4INCH-15MTR</v>
          </cell>
          <cell r="C127" t="str">
            <v>TRENDIKRAFT</v>
          </cell>
        </row>
        <row r="128">
          <cell r="A128" t="str">
            <v>B0D78ZMGSD</v>
          </cell>
          <cell r="B128" t="str">
            <v>TK-TAPE-VASTU-YELLOW-4INCH-15MTR</v>
          </cell>
          <cell r="C128" t="str">
            <v>TRENDIKRAFT</v>
          </cell>
        </row>
        <row r="129">
          <cell r="A129" t="str">
            <v>B0D78YQMSX</v>
          </cell>
          <cell r="B129" t="str">
            <v>TK-TAPE-VASTU-WHITE-4INCH-15MTR</v>
          </cell>
          <cell r="C129" t="str">
            <v>TRENDIKRAFT</v>
          </cell>
        </row>
        <row r="130">
          <cell r="A130" t="str">
            <v>B0CQKM5PY8</v>
          </cell>
          <cell r="B130" t="str">
            <v>TK-TAPE-MASKING-20M-24MM-PACK1</v>
          </cell>
          <cell r="C130" t="str">
            <v>TRENDIKRAFT</v>
          </cell>
        </row>
        <row r="131">
          <cell r="A131" t="str">
            <v>B0CQKHR4QM</v>
          </cell>
          <cell r="B131" t="str">
            <v>TK-TAPE-TISSUE-50M-1INCH-PACK2</v>
          </cell>
          <cell r="C131" t="str">
            <v>TRENDIKRAFT</v>
          </cell>
        </row>
        <row r="132">
          <cell r="A132" t="str">
            <v>B0CQKM2N7Y</v>
          </cell>
          <cell r="B132" t="str">
            <v>TK-TAPE-MASKING-20M-12MM-PACK1</v>
          </cell>
          <cell r="C132" t="str">
            <v>TRENDIKRAFT</v>
          </cell>
        </row>
        <row r="133">
          <cell r="A133" t="str">
            <v>B0CWV9J79W</v>
          </cell>
          <cell r="B133" t="str">
            <v>TK-TAPE-TEFLON-10M-12MM-P5</v>
          </cell>
          <cell r="C133" t="str">
            <v>TRENDIKRAFT</v>
          </cell>
        </row>
        <row r="134">
          <cell r="A134" t="str">
            <v>B0D6NFSGQS</v>
          </cell>
          <cell r="B134" t="str">
            <v>TK-TAPE-TEFLON-10M-12MM-P10</v>
          </cell>
          <cell r="C134" t="str">
            <v>TRENDIKRAFT</v>
          </cell>
        </row>
        <row r="135">
          <cell r="A135" t="str">
            <v>B0D6NF4V43</v>
          </cell>
          <cell r="B135" t="str">
            <v>TK-TAPE-ELECTRICAL-6M-17MM-PACK6</v>
          </cell>
          <cell r="C135" t="str">
            <v>TRENDIKRAFT</v>
          </cell>
        </row>
        <row r="136">
          <cell r="A136" t="str">
            <v>B0CXTH36HR</v>
          </cell>
          <cell r="B136" t="str">
            <v>TK-RESINKIT-21-6000</v>
          </cell>
          <cell r="C136" t="str">
            <v>TRENDIKRAFT</v>
          </cell>
        </row>
        <row r="137">
          <cell r="A137" t="str">
            <v>B0DNFQL11S</v>
          </cell>
          <cell r="B137" t="str">
            <v>TK-SW-4INCH-P1-FBA</v>
          </cell>
          <cell r="C137" t="str">
            <v>TRENDIKRAFT</v>
          </cell>
        </row>
        <row r="138">
          <cell r="A138" t="str">
            <v>B0CQ4TMVG9</v>
          </cell>
          <cell r="B138" t="str">
            <v>EB Seamless Blue Pink V1 FBA</v>
          </cell>
          <cell r="C138" t="str">
            <v>EB-Everything Beautiful</v>
          </cell>
        </row>
        <row r="139">
          <cell r="A139" t="str">
            <v>B0CQ87NCWG</v>
          </cell>
          <cell r="B139" t="str">
            <v>EB-Seamless-Classic V1 FBA</v>
          </cell>
          <cell r="C139" t="str">
            <v>EB-Everything Beautiful</v>
          </cell>
        </row>
        <row r="140">
          <cell r="A140" t="str">
            <v>B0CQ7S9QFZ</v>
          </cell>
          <cell r="B140" t="str">
            <v>EB Classic Design Seamless P4</v>
          </cell>
          <cell r="C140" t="str">
            <v>EB-Everything Beautiful</v>
          </cell>
        </row>
        <row r="141">
          <cell r="A141" t="str">
            <v>B0CQ88JX6M</v>
          </cell>
          <cell r="B141" t="str">
            <v>EB Classic Design Seamless P6</v>
          </cell>
          <cell r="C141" t="str">
            <v>EB-Everything Beautiful</v>
          </cell>
        </row>
        <row r="142">
          <cell r="A142" t="str">
            <v>B0BVBQ17P1</v>
          </cell>
          <cell r="B142" t="str">
            <v>EB-Standard-Classic</v>
          </cell>
          <cell r="C142" t="str">
            <v>EB-Everything Beautiful</v>
          </cell>
        </row>
        <row r="143">
          <cell r="A143" t="str">
            <v>B0BW9FTXT4</v>
          </cell>
          <cell r="B143" t="str">
            <v>EB-SlimTower-Classic</v>
          </cell>
          <cell r="C143" t="str">
            <v>EB-Everything Beautiful</v>
          </cell>
        </row>
        <row r="144">
          <cell r="A144" t="str">
            <v>B0CQ4SGXR3</v>
          </cell>
          <cell r="B144" t="str">
            <v>EB-Standard-Classic V1</v>
          </cell>
          <cell r="C144" t="str">
            <v>EB-Everything Beautiful</v>
          </cell>
        </row>
        <row r="145">
          <cell r="A145" t="str">
            <v>B0CZ6FKNJ8</v>
          </cell>
          <cell r="B145" t="str">
            <v>EB-Copper-SmoothGrey-1L V1</v>
          </cell>
          <cell r="C145" t="str">
            <v>EB-Everything Beautiful</v>
          </cell>
        </row>
        <row r="146">
          <cell r="A146" t="str">
            <v>B0CQ7V4FZZ</v>
          </cell>
          <cell r="B146" t="str">
            <v>EB-Seamless-Smooth Grey V1 FBA</v>
          </cell>
          <cell r="C146" t="str">
            <v>EB-Everything Beautiful</v>
          </cell>
        </row>
        <row r="147">
          <cell r="A147" t="str">
            <v>B0CQ7QHFPD</v>
          </cell>
          <cell r="B147" t="str">
            <v>EB-Tower-Smooth Grey V1-FBA</v>
          </cell>
          <cell r="C147" t="str">
            <v>EB-Everything Beautiful</v>
          </cell>
        </row>
        <row r="148">
          <cell r="A148" t="str">
            <v>B0CZ6KT8SX</v>
          </cell>
          <cell r="B148" t="str">
            <v>W7-MUKB-WR9G V1</v>
          </cell>
          <cell r="C148" t="str">
            <v>EB-Everything Beautiful</v>
          </cell>
        </row>
        <row r="149">
          <cell r="A149" t="str">
            <v>B0CZ6L6ZYR</v>
          </cell>
          <cell r="B149" t="str">
            <v>EB-MARBLE-1L V1</v>
          </cell>
          <cell r="C149" t="str">
            <v>EB-Everything Beautiful</v>
          </cell>
        </row>
        <row r="150">
          <cell r="A150" t="str">
            <v>B0CQ4SQ3VG</v>
          </cell>
          <cell r="B150" t="str">
            <v>EB-Seamless-Marble Design V1 FBA</v>
          </cell>
          <cell r="C150" t="str">
            <v>EB-Everything Beautiful</v>
          </cell>
        </row>
        <row r="151">
          <cell r="A151" t="str">
            <v>B0CQ4S1STX</v>
          </cell>
          <cell r="B151" t="str">
            <v>EB-Tower-Marble Design V1 FBA</v>
          </cell>
          <cell r="C151" t="str">
            <v>EB-Everything Beautiful</v>
          </cell>
        </row>
        <row r="152">
          <cell r="A152" t="str">
            <v>B0CZ71QL2H</v>
          </cell>
          <cell r="B152" t="str">
            <v>FZ-GDWO-C1SZ V1</v>
          </cell>
          <cell r="C152" t="str">
            <v>EB-Everything Beautiful</v>
          </cell>
        </row>
        <row r="153">
          <cell r="A153" t="str">
            <v>B0CZ6SHWZV</v>
          </cell>
          <cell r="B153" t="str">
            <v>EB-FUNKY-1L V1</v>
          </cell>
          <cell r="C153" t="str">
            <v>EB-Everything Beautiful</v>
          </cell>
        </row>
        <row r="154">
          <cell r="A154" t="str">
            <v>B0CQ7VQKWD</v>
          </cell>
          <cell r="B154" t="str">
            <v>EB-Seamless-Funky Flower V1 FBA</v>
          </cell>
          <cell r="C154" t="str">
            <v>EB-Everything Beautiful</v>
          </cell>
        </row>
        <row r="155">
          <cell r="A155" t="str">
            <v>B0CQ8G3B9N</v>
          </cell>
          <cell r="B155" t="str">
            <v>EB-Tower-Funky Flower V1 FBA</v>
          </cell>
          <cell r="C155" t="str">
            <v>EB-Everything Beautiful</v>
          </cell>
        </row>
        <row r="156">
          <cell r="A156" t="str">
            <v>B0CZ6MP8B4</v>
          </cell>
          <cell r="B156" t="str">
            <v>BN-3YD6-SMTF V1</v>
          </cell>
          <cell r="C156" t="str">
            <v>EB-Everything Beautiful</v>
          </cell>
        </row>
        <row r="157">
          <cell r="A157" t="str">
            <v>B0BVBP6C3Y</v>
          </cell>
          <cell r="B157" t="str">
            <v>EB-Seamless-Classic</v>
          </cell>
          <cell r="C157" t="str">
            <v>EB-Everything Beautiful</v>
          </cell>
        </row>
        <row r="158">
          <cell r="A158" t="str">
            <v>B0CQ58F2P9</v>
          </cell>
          <cell r="B158" t="str">
            <v>EB-Steel Bottle-Funky Flower-1L-P1 V1FBA</v>
          </cell>
          <cell r="C158" t="str">
            <v>EB-Everything Beautiful</v>
          </cell>
        </row>
        <row r="159">
          <cell r="A159" t="str">
            <v>B0CQ58MKRR</v>
          </cell>
          <cell r="B159" t="str">
            <v>EB-Steel-Funky Flower-1L-P2 V1 FBA</v>
          </cell>
          <cell r="C159" t="str">
            <v>EB-Everything Beautiful</v>
          </cell>
        </row>
        <row r="160">
          <cell r="A160" t="str">
            <v>B0CQ5BTDQK</v>
          </cell>
          <cell r="B160" t="str">
            <v>EB-Steel-Funky Flower-1L-P3 V1 FBA</v>
          </cell>
          <cell r="C160" t="str">
            <v>EB-Everything Beautiful</v>
          </cell>
        </row>
        <row r="161">
          <cell r="A161" t="str">
            <v>B0CQ58D9HX</v>
          </cell>
          <cell r="B161" t="str">
            <v>EB-Steel-Funky Flower-1L-P4 V1 FBA</v>
          </cell>
          <cell r="C161" t="str">
            <v>EB-Everything Beautiful</v>
          </cell>
        </row>
        <row r="162">
          <cell r="A162" t="str">
            <v>B0CQ55YG32</v>
          </cell>
          <cell r="B162" t="str">
            <v>EB-Steel-Funky Flower-1L-P6 V1 FBA</v>
          </cell>
          <cell r="C162" t="str">
            <v>EB-Everything Beautiful</v>
          </cell>
        </row>
        <row r="163">
          <cell r="A163" t="str">
            <v>B0FCMMCJBW</v>
          </cell>
          <cell r="B163" t="str">
            <v>EB-SS-FF-750ml-P1</v>
          </cell>
          <cell r="C163" t="str">
            <v>EB-Everything Beautiful</v>
          </cell>
        </row>
        <row r="164">
          <cell r="A164" t="str">
            <v>B0CQ59XHCW</v>
          </cell>
          <cell r="B164" t="str">
            <v>EB-Steel-Funky Flower-750ml-P2 V1 FBA</v>
          </cell>
          <cell r="C164" t="str">
            <v>EB-Everything Beautiful</v>
          </cell>
        </row>
        <row r="165">
          <cell r="A165" t="str">
            <v>B0CQ59HYSM</v>
          </cell>
          <cell r="B165" t="str">
            <v>EB-Steel-Funky Flower-750ml-P3 V1 FBA</v>
          </cell>
          <cell r="C165" t="str">
            <v>EB-Everything Beautiful</v>
          </cell>
        </row>
        <row r="166">
          <cell r="A166" t="str">
            <v>B0CQ57BF23</v>
          </cell>
          <cell r="B166" t="str">
            <v>EB-Steel-Funky Flower-750ml-P4 V1 FBA</v>
          </cell>
          <cell r="C166" t="str">
            <v>EB-Everything Beautiful</v>
          </cell>
        </row>
        <row r="167">
          <cell r="A167" t="str">
            <v>B0CQ58CT1Z</v>
          </cell>
          <cell r="B167" t="str">
            <v>EB-Steel-Funky Flower-750ml-P6 V1 FBA</v>
          </cell>
          <cell r="C167" t="str">
            <v>EB-Everything Beautiful</v>
          </cell>
        </row>
        <row r="168">
          <cell r="A168" t="str">
            <v>B0CQ58QDMJ</v>
          </cell>
          <cell r="B168" t="str">
            <v>EB-Steel Bottle-Smooth Grey-1L-P1 V1 FBA</v>
          </cell>
          <cell r="C168" t="str">
            <v>EB-Everything Beautiful</v>
          </cell>
        </row>
        <row r="169">
          <cell r="A169" t="str">
            <v>B0CQ581TW3</v>
          </cell>
          <cell r="B169" t="str">
            <v>EB-Steel Bottle-Smooth Grey-1L-P2 V1 FBA</v>
          </cell>
          <cell r="C169" t="str">
            <v>EB-Everything Beautiful</v>
          </cell>
        </row>
        <row r="170">
          <cell r="A170" t="str">
            <v>B0CQ59VKJK</v>
          </cell>
          <cell r="B170" t="str">
            <v>EB-Steel Bottle-Smooth Grey-1L-P3 V1 FBA</v>
          </cell>
          <cell r="C170" t="str">
            <v>EB-Everything Beautiful</v>
          </cell>
        </row>
        <row r="171">
          <cell r="A171" t="str">
            <v>B0CQ59JT6F</v>
          </cell>
          <cell r="B171" t="str">
            <v>EB-Steel Bottle-Smooth Grey-1L-P4 V1 FBA</v>
          </cell>
          <cell r="C171" t="str">
            <v>EB-Everything Beautiful</v>
          </cell>
        </row>
        <row r="172">
          <cell r="A172" t="str">
            <v>B0CQ5BL1P6</v>
          </cell>
          <cell r="B172" t="str">
            <v>EB-Steel Bottle-Smooth Grey-1L-P6 V1 FBA</v>
          </cell>
          <cell r="C172" t="str">
            <v>EB-Everything Beautiful</v>
          </cell>
        </row>
        <row r="173">
          <cell r="A173" t="str">
            <v>B0FCMMVN95</v>
          </cell>
          <cell r="B173" t="str">
            <v>EB-SS-SG-750ml-P1</v>
          </cell>
          <cell r="C173" t="str">
            <v>EB-Everything Beautiful</v>
          </cell>
        </row>
        <row r="174">
          <cell r="A174" t="str">
            <v>B0CQ58F6JP</v>
          </cell>
          <cell r="B174" t="str">
            <v>EB-Steel-Smooth Grey-750ml-P2 V1 FBA</v>
          </cell>
          <cell r="C174" t="str">
            <v>EB-Everything Beautiful</v>
          </cell>
        </row>
        <row r="175">
          <cell r="A175" t="str">
            <v>B0CQ57SGTN</v>
          </cell>
          <cell r="B175" t="str">
            <v>EB-Steel-Smooth Grey-750ml-P3 V1 FBA</v>
          </cell>
          <cell r="C175" t="str">
            <v>EB-Everything Beautiful</v>
          </cell>
        </row>
        <row r="176">
          <cell r="A176" t="str">
            <v>B0CQ57GCBZ</v>
          </cell>
          <cell r="B176" t="str">
            <v>EB-Steel-Smooth Grey-750ml-P4 V1 FBA</v>
          </cell>
          <cell r="C176" t="str">
            <v>EB-Everything Beautiful</v>
          </cell>
        </row>
        <row r="177">
          <cell r="A177" t="str">
            <v>B0CQ57BBDP</v>
          </cell>
          <cell r="B177" t="str">
            <v>EB-Steel-Smooth Grey-750ml-P6 V1 FBA</v>
          </cell>
          <cell r="C177" t="str">
            <v>EB-Everything Beautiful</v>
          </cell>
        </row>
        <row r="178">
          <cell r="A178" t="str">
            <v>B0D6CFD2SN</v>
          </cell>
          <cell r="B178" t="str">
            <v>EB-Steel Bottle-Smooth Black-1L-P1 V1FBA</v>
          </cell>
          <cell r="C178" t="str">
            <v>EB-Everything Beautiful</v>
          </cell>
        </row>
        <row r="179">
          <cell r="A179" t="str">
            <v>B0D6CRB3PT</v>
          </cell>
          <cell r="B179" t="str">
            <v>EB-Steel Bottle-Smooth Black-1L-P2 FBA</v>
          </cell>
          <cell r="C179" t="str">
            <v>EB-Everything Beautiful</v>
          </cell>
        </row>
        <row r="180">
          <cell r="A180" t="str">
            <v>B0D6CPXD9T</v>
          </cell>
          <cell r="B180" t="str">
            <v>EB-Steel Bottle-Smooth Black-1L-P3 FBA</v>
          </cell>
          <cell r="C180" t="str">
            <v>EB-Everything Beautiful</v>
          </cell>
        </row>
        <row r="181">
          <cell r="A181" t="str">
            <v>B0D6CP8773</v>
          </cell>
          <cell r="B181" t="str">
            <v>EB-Steel Bottle-Smooth Black-1L-P4 FBA</v>
          </cell>
          <cell r="C181" t="str">
            <v>EB-Everything Beautiful</v>
          </cell>
        </row>
        <row r="182">
          <cell r="A182" t="str">
            <v>B0D6CR577K</v>
          </cell>
          <cell r="B182" t="str">
            <v>EB-Steel Bottle-Smooth Black-1L-P6 FBA</v>
          </cell>
          <cell r="C182" t="str">
            <v>EB-Everything Beautiful</v>
          </cell>
        </row>
        <row r="183">
          <cell r="A183" t="str">
            <v>B0D6CVCZ44</v>
          </cell>
          <cell r="B183" t="str">
            <v>EB-Steel Bottle-White Flower-1L-P1 V1FBA</v>
          </cell>
          <cell r="C183" t="str">
            <v>EB-Everything Beautiful</v>
          </cell>
        </row>
        <row r="184">
          <cell r="A184" t="str">
            <v>B0D6CKXLPC</v>
          </cell>
          <cell r="B184" t="str">
            <v>EB-Steel-White Flower-1L-P2 V1 FBA</v>
          </cell>
          <cell r="C184" t="str">
            <v>EB-Everything Beautiful</v>
          </cell>
        </row>
        <row r="185">
          <cell r="A185" t="str">
            <v>B0D6CXJV26</v>
          </cell>
          <cell r="B185" t="str">
            <v>EB-Steel-White Flower-1L-P3 V1 FBA</v>
          </cell>
          <cell r="C185" t="str">
            <v>EB-Everything Beautiful</v>
          </cell>
        </row>
        <row r="186">
          <cell r="A186" t="str">
            <v>B0D6CXG47F</v>
          </cell>
          <cell r="B186" t="str">
            <v>EB-Steel-White Flower-1L-P4 V1 FBA</v>
          </cell>
          <cell r="C186" t="str">
            <v>EB-Everything Beautiful</v>
          </cell>
        </row>
        <row r="187">
          <cell r="A187" t="str">
            <v>B0D6CWVBGZ</v>
          </cell>
          <cell r="B187" t="str">
            <v>EB-Steel-White Flower-1L-P6 V1 FBA</v>
          </cell>
          <cell r="C187" t="str">
            <v>EB-Everything Beautiful</v>
          </cell>
        </row>
        <row r="188">
          <cell r="A188" t="str">
            <v>B0D6W6HPLS</v>
          </cell>
          <cell r="B188" t="str">
            <v>EB-Steel Bottle-Modern Art-1L-P1 V1 FBA</v>
          </cell>
          <cell r="C188" t="str">
            <v>EB-Everything Beautiful</v>
          </cell>
        </row>
        <row r="189">
          <cell r="A189" t="str">
            <v>B0D6W4V8N6</v>
          </cell>
          <cell r="B189" t="str">
            <v>EB-Steel Bottle-Modern Art-1L-P2 V1 FBA</v>
          </cell>
          <cell r="C189" t="str">
            <v>EB-Everything Beautiful</v>
          </cell>
        </row>
        <row r="190">
          <cell r="A190" t="str">
            <v>B0D6W63JX4</v>
          </cell>
          <cell r="B190" t="str">
            <v>EB-Steel Bottle-Modern Art-1L-P3 V1 FBA</v>
          </cell>
          <cell r="C190" t="str">
            <v>EB-Everything Beautiful</v>
          </cell>
        </row>
        <row r="191">
          <cell r="A191" t="str">
            <v>B0D6W7R9VH</v>
          </cell>
          <cell r="B191" t="str">
            <v>EB-Steel Bottle-Modern Art-1L-P4 V1 FBA</v>
          </cell>
          <cell r="C191" t="str">
            <v>EB-Everything Beautiful</v>
          </cell>
        </row>
        <row r="192">
          <cell r="A192" t="str">
            <v>B0D6W6PKMH</v>
          </cell>
          <cell r="B192" t="str">
            <v>EB-Steel Bottle-Modern Art-1L-P6 V1 FBA</v>
          </cell>
          <cell r="C192" t="str">
            <v>EB-Everything Beautiful</v>
          </cell>
        </row>
        <row r="193">
          <cell r="A193" t="str">
            <v>B0FCMMFSCW</v>
          </cell>
          <cell r="B193" t="str">
            <v>EB-SS-BM-750ml-P1</v>
          </cell>
          <cell r="C193" t="str">
            <v>EB-Everything Beautiful</v>
          </cell>
        </row>
        <row r="194">
          <cell r="A194" t="str">
            <v>B0D6CV7H9C</v>
          </cell>
          <cell r="B194" t="str">
            <v>EB-Steel-Smooth Black-750ml-P2 FBA</v>
          </cell>
          <cell r="C194" t="str">
            <v>EB-Everything Beautiful</v>
          </cell>
        </row>
        <row r="195">
          <cell r="A195" t="str">
            <v>B0D6C6S2JV</v>
          </cell>
          <cell r="B195" t="str">
            <v>EB-Steel-Smooth Black-750ml-P3 V1 FBA</v>
          </cell>
          <cell r="C195" t="str">
            <v>EB-Everything Beautiful</v>
          </cell>
        </row>
        <row r="196">
          <cell r="A196" t="str">
            <v>B0D6CKMCT9</v>
          </cell>
          <cell r="B196" t="str">
            <v>EB-Steel-Smooth Black-750ml-P4 FBA</v>
          </cell>
          <cell r="C196" t="str">
            <v>EB-Everything Beautiful</v>
          </cell>
        </row>
        <row r="197">
          <cell r="A197" t="str">
            <v>B0D6CFS1XD</v>
          </cell>
          <cell r="B197" t="str">
            <v>EB-Steel-Smooth Black-750ml-P6 FBA</v>
          </cell>
          <cell r="C197" t="str">
            <v>EB-Everything Beautiful</v>
          </cell>
        </row>
        <row r="198">
          <cell r="A198" t="str">
            <v>B0FCMQ6V3T</v>
          </cell>
          <cell r="B198" t="str">
            <v>EB-SS-WF-750ml-P1</v>
          </cell>
          <cell r="C198" t="str">
            <v>EB-Everything Beautiful</v>
          </cell>
        </row>
        <row r="199">
          <cell r="A199" t="str">
            <v>B0D6CQMVG7</v>
          </cell>
          <cell r="B199" t="str">
            <v>EB-Steel-White Flower-750ml-P2 V1 FBA</v>
          </cell>
          <cell r="C199" t="str">
            <v>EB-Everything Beautiful</v>
          </cell>
        </row>
        <row r="200">
          <cell r="A200" t="str">
            <v>B0D6D3J8RM</v>
          </cell>
          <cell r="B200" t="str">
            <v>EB-Steel-White Flower-750ml-P3 V1 FBA</v>
          </cell>
          <cell r="C200" t="str">
            <v>EB-Everything Beautiful</v>
          </cell>
        </row>
        <row r="201">
          <cell r="A201" t="str">
            <v>B0D6CFWPB2</v>
          </cell>
          <cell r="B201" t="str">
            <v>EB-Steel-White Flower-750ml-P4 V1 FBA</v>
          </cell>
          <cell r="C201" t="str">
            <v>EB-Everything Beautiful</v>
          </cell>
        </row>
        <row r="202">
          <cell r="A202" t="str">
            <v>B0D6CCFHPH</v>
          </cell>
          <cell r="B202" t="str">
            <v>EB-Steel-White Flower-750ml-P6 V1 FBA</v>
          </cell>
          <cell r="C202" t="str">
            <v>EB-Everything Beautiful</v>
          </cell>
        </row>
        <row r="203">
          <cell r="A203" t="str">
            <v>B0FCML8S9H</v>
          </cell>
          <cell r="B203" t="str">
            <v>EB-SS-MA-750ml-P1</v>
          </cell>
          <cell r="C203" t="str">
            <v>EB-Everything Beautiful</v>
          </cell>
        </row>
        <row r="204">
          <cell r="A204" t="str">
            <v>B0D6CMPM5Z</v>
          </cell>
          <cell r="B204" t="str">
            <v>EB-Steel-Modern Art-750ml-P2 V1 FBA</v>
          </cell>
          <cell r="C204" t="str">
            <v>EB-Everything Beautiful</v>
          </cell>
        </row>
        <row r="205">
          <cell r="A205" t="str">
            <v>B0D6C9QZTJ</v>
          </cell>
          <cell r="B205" t="str">
            <v>EB-Steel-Modern Art-750ml-P3 V1 FBA</v>
          </cell>
          <cell r="C205" t="str">
            <v>EB-Everything Beautiful</v>
          </cell>
        </row>
        <row r="206">
          <cell r="A206" t="str">
            <v>B0D6C9VM2Y</v>
          </cell>
          <cell r="B206" t="str">
            <v>EB-Steel-Modern Art-750ml-P4 V1 FBA</v>
          </cell>
          <cell r="C206" t="str">
            <v>EB-Everything Beautiful</v>
          </cell>
        </row>
        <row r="207">
          <cell r="A207" t="str">
            <v>B0D6CM1VCC</v>
          </cell>
          <cell r="B207" t="str">
            <v>EB-Steel-Modern Art-750ml-P6 V1 FBA</v>
          </cell>
          <cell r="C207" t="str">
            <v>EB-Everything Beautiful</v>
          </cell>
        </row>
        <row r="208">
          <cell r="A208" t="str">
            <v>B0CQ4TZTT7</v>
          </cell>
          <cell r="B208" t="str">
            <v>EB Classic Design Slim P4 V1</v>
          </cell>
          <cell r="C208" t="str">
            <v>EB-Everything Beautiful</v>
          </cell>
        </row>
        <row r="209">
          <cell r="A209" t="str">
            <v>B0CQ4TVJ1V</v>
          </cell>
          <cell r="B209" t="str">
            <v>EB Classic Design Slim P6 V1 FBA</v>
          </cell>
          <cell r="C209" t="str">
            <v>EB-Everything Beautiful</v>
          </cell>
        </row>
        <row r="210">
          <cell r="A210" t="str">
            <v>B0CWJ9QFFN</v>
          </cell>
          <cell r="B210" t="str">
            <v>OR-ZM2021-NEW-FBA</v>
          </cell>
          <cell r="C210" t="str">
            <v>ORILEY</v>
          </cell>
        </row>
        <row r="211">
          <cell r="A211" t="str">
            <v>B0FGJWZQGH</v>
          </cell>
          <cell r="B211" t="str">
            <v>BJWZ0034-VBTRC12</v>
          </cell>
          <cell r="C211" t="str">
            <v>BOXJOY</v>
          </cell>
        </row>
        <row r="212">
          <cell r="A212" t="str">
            <v>B0FGJWZ2FQ</v>
          </cell>
          <cell r="B212" t="str">
            <v>BJWZ0035-VBTRC20</v>
          </cell>
          <cell r="C212" t="str">
            <v>BOXJOY</v>
          </cell>
        </row>
        <row r="213">
          <cell r="A213" t="str">
            <v>B0DRDGQJ88</v>
          </cell>
          <cell r="B213" t="str">
            <v>BJWZ0027-VBTRMP3</v>
          </cell>
          <cell r="C213" t="str">
            <v>BOXJOY</v>
          </cell>
        </row>
        <row r="214">
          <cell r="A214" t="str">
            <v>B0DRDC3KQ4</v>
          </cell>
          <cell r="B214" t="str">
            <v>BJWZ0028-VBTRLP3</v>
          </cell>
          <cell r="C214" t="str">
            <v>BOXJOY</v>
          </cell>
        </row>
        <row r="215">
          <cell r="A215" t="str">
            <v>B0FGK1B341</v>
          </cell>
          <cell r="B215" t="str">
            <v>BJWZ0032-VBTRLP6</v>
          </cell>
          <cell r="C215" t="str">
            <v>BOXJOY</v>
          </cell>
        </row>
        <row r="216">
          <cell r="A216" t="str">
            <v>B0DRDD3D14</v>
          </cell>
          <cell r="B216" t="str">
            <v>BJWZ0029-VBTRJP3</v>
          </cell>
          <cell r="C216" t="str">
            <v>BOXJOY</v>
          </cell>
        </row>
        <row r="217">
          <cell r="A217" t="str">
            <v>B0FGJY58J9</v>
          </cell>
          <cell r="B217" t="str">
            <v>BJWZ0033-VBTRJP6</v>
          </cell>
          <cell r="C217" t="str">
            <v>BOXJOY</v>
          </cell>
        </row>
        <row r="218">
          <cell r="A218" t="str">
            <v>B0DSWJWG3V</v>
          </cell>
          <cell r="B218" t="str">
            <v>BJDZ0001-PETR007</v>
          </cell>
          <cell r="C218" t="str">
            <v>BOXJOY</v>
          </cell>
        </row>
        <row r="219">
          <cell r="A219" t="str">
            <v>B0DSWKKM92</v>
          </cell>
          <cell r="B219" t="str">
            <v>BJDZ0002-PETR016-FBA</v>
          </cell>
          <cell r="C219" t="str">
            <v>BOXJOY</v>
          </cell>
        </row>
        <row r="220">
          <cell r="A220" t="str">
            <v>B0DSWKD33H</v>
          </cell>
          <cell r="B220" t="str">
            <v>BJDZ0003-PETR025</v>
          </cell>
          <cell r="C220" t="str">
            <v>BOXJOY</v>
          </cell>
        </row>
        <row r="221">
          <cell r="A221" t="str">
            <v>B0DSWHYY5Z</v>
          </cell>
          <cell r="B221" t="str">
            <v>BJDZ0004-PETRE8G</v>
          </cell>
          <cell r="C221" t="str">
            <v>BOXJOY</v>
          </cell>
        </row>
        <row r="222">
          <cell r="A222" t="str">
            <v>B0FGPRKH6B</v>
          </cell>
          <cell r="B222" t="str">
            <v>BJTZ0001-POWH07P</v>
          </cell>
          <cell r="C222" t="str">
            <v>BOXJOY</v>
          </cell>
        </row>
        <row r="223">
          <cell r="A223" t="str">
            <v>B0FGQCX8NL</v>
          </cell>
          <cell r="B223" t="str">
            <v>BJWZ0030-POBG6B</v>
          </cell>
          <cell r="C223" t="str">
            <v>BOXJOY</v>
          </cell>
        </row>
        <row r="224">
          <cell r="A224" t="str">
            <v>B0FGQC5YK3</v>
          </cell>
          <cell r="B224" t="str">
            <v>BJWZ0031-POBG8B</v>
          </cell>
          <cell r="C224" t="str">
            <v>BOXJOY</v>
          </cell>
        </row>
        <row r="225">
          <cell r="A225" t="str">
            <v>B0F71RY7C4</v>
          </cell>
          <cell r="B225" t="str">
            <v>BOXJOY-2BT-1D-CLOTHRACK</v>
          </cell>
          <cell r="C225" t="str">
            <v>BOXJOY</v>
          </cell>
        </row>
        <row r="226">
          <cell r="A226" t="str">
            <v>B0F71SKV17</v>
          </cell>
          <cell r="B226" t="str">
            <v>BOXJOY-2WT-1D-CLOTHRACK</v>
          </cell>
          <cell r="C226" t="str">
            <v>BOXJOY</v>
          </cell>
        </row>
        <row r="227">
          <cell r="A227" t="str">
            <v>B0F71NYK2M</v>
          </cell>
          <cell r="B227" t="str">
            <v>BOXJOY-2WW-1D-CLOTHRACK</v>
          </cell>
          <cell r="C227" t="str">
            <v>BOXJOY</v>
          </cell>
        </row>
        <row r="228">
          <cell r="A228" t="str">
            <v>B0F4DDT3QN</v>
          </cell>
          <cell r="B228" t="str">
            <v>BOXJOY-2BT-1D</v>
          </cell>
          <cell r="C228" t="str">
            <v>BOXJOY</v>
          </cell>
        </row>
        <row r="229">
          <cell r="A229" t="str">
            <v>B0F4DHRLN8</v>
          </cell>
          <cell r="B229" t="str">
            <v>BOXJOY-2WT-1D</v>
          </cell>
          <cell r="C229" t="str">
            <v>BOXJOY</v>
          </cell>
        </row>
        <row r="230">
          <cell r="A230" t="str">
            <v>B0F4DNLBB5</v>
          </cell>
          <cell r="B230" t="str">
            <v>BOXJOY-2WW-1D</v>
          </cell>
          <cell r="C230" t="str">
            <v>BOXJOY</v>
          </cell>
        </row>
        <row r="231">
          <cell r="A231" t="str">
            <v>B0FKTLR4VF</v>
          </cell>
          <cell r="B231" t="str">
            <v>BJMZ0001-PFBKD06S</v>
          </cell>
          <cell r="C231" t="str">
            <v>BOXJOY</v>
          </cell>
        </row>
        <row r="232">
          <cell r="A232" t="str">
            <v>B0FKTV5VTN</v>
          </cell>
          <cell r="B232" t="str">
            <v>BJMZ00011-PPWT08S</v>
          </cell>
          <cell r="C232" t="str">
            <v>BOXJOY</v>
          </cell>
        </row>
        <row r="233">
          <cell r="A233" t="str">
            <v>B0FKV6CJW8</v>
          </cell>
          <cell r="B233" t="str">
            <v>BJMZ0002-MMBKF06S-PS</v>
          </cell>
          <cell r="C233" t="str">
            <v>BOXJOY</v>
          </cell>
        </row>
        <row r="234">
          <cell r="A234" t="str">
            <v>B0FKVRYRBG</v>
          </cell>
          <cell r="B234" t="str">
            <v>BJMZ0003-MMWHF06S-PS</v>
          </cell>
          <cell r="C234" t="str">
            <v>BOXJOY</v>
          </cell>
        </row>
        <row r="235">
          <cell r="A235" t="str">
            <v>B0FKTXVPDZ</v>
          </cell>
          <cell r="B235" t="str">
            <v>BJMZ0004-PPWTF06S</v>
          </cell>
          <cell r="C235" t="str">
            <v>BOXJOY</v>
          </cell>
        </row>
        <row r="236">
          <cell r="A236" t="str">
            <v>B0FKVDGHHY</v>
          </cell>
          <cell r="B236" t="str">
            <v>BJMZ0005-PPWTF09S</v>
          </cell>
          <cell r="C236" t="str">
            <v>BOXJOY</v>
          </cell>
        </row>
        <row r="237">
          <cell r="A237" t="str">
            <v>B0FKTM1FQH</v>
          </cell>
          <cell r="B237" t="str">
            <v>BJMZ0006-PPBT02S</v>
          </cell>
          <cell r="C237" t="str">
            <v>BOXJOY</v>
          </cell>
        </row>
        <row r="238">
          <cell r="A238" t="str">
            <v>B0FKTLNKG1</v>
          </cell>
          <cell r="B238" t="str">
            <v>BJMZ0007-MMBKV04S</v>
          </cell>
          <cell r="C238" t="str">
            <v>BOXJOY</v>
          </cell>
        </row>
        <row r="239">
          <cell r="A239" t="str">
            <v>B0FKTR8V86</v>
          </cell>
          <cell r="B239" t="str">
            <v>BJMZ0008-MMWHV04S</v>
          </cell>
          <cell r="C239" t="str">
            <v>BOXJOY</v>
          </cell>
        </row>
        <row r="240">
          <cell r="A240" t="str">
            <v>B0FKTLGWL1</v>
          </cell>
          <cell r="B240" t="str">
            <v>BJMZ0009-MMBKH05S</v>
          </cell>
          <cell r="C240" t="str">
            <v>BOXJOY</v>
          </cell>
        </row>
        <row r="241">
          <cell r="A241" t="str">
            <v>B0FKTKGZZR</v>
          </cell>
          <cell r="B241" t="str">
            <v>BJMZ0010-MMWHH05S</v>
          </cell>
          <cell r="C241" t="str">
            <v>BOXJOY</v>
          </cell>
        </row>
        <row r="242">
          <cell r="A242" t="str">
            <v>B0FKTP5GJQ</v>
          </cell>
          <cell r="B242" t="str">
            <v>BJPZ0001-MMBKLP</v>
          </cell>
          <cell r="C242" t="str">
            <v>BOXJOY</v>
          </cell>
        </row>
        <row r="243">
          <cell r="A243" t="str">
            <v>B0FKV4NSS2</v>
          </cell>
          <cell r="B243" t="str">
            <v>BJMZ0003-MMWHF06S-BC</v>
          </cell>
          <cell r="C243" t="str">
            <v>BOXJOY</v>
          </cell>
        </row>
        <row r="244">
          <cell r="A244" t="str">
            <v>B0FKV8QS9W</v>
          </cell>
          <cell r="B244" t="str">
            <v>BJMZ0002-MMBKF06S-BC</v>
          </cell>
          <cell r="C244" t="str">
            <v>BOXJOY</v>
          </cell>
        </row>
        <row r="245">
          <cell r="A245" t="str">
            <v>B0FKV5FT8D</v>
          </cell>
          <cell r="B245" t="str">
            <v>BJMZ00011-PPWT08S-SR</v>
          </cell>
          <cell r="C245" t="str">
            <v>BOXJOY</v>
          </cell>
        </row>
        <row r="246">
          <cell r="A246" t="str">
            <v>B0FJ2J1JL6</v>
          </cell>
          <cell r="B246" t="str">
            <v>PRFCFW001-100-P1</v>
          </cell>
          <cell r="C246" t="str">
            <v>PROWL</v>
          </cell>
        </row>
        <row r="247">
          <cell r="A247" t="str">
            <v>B0FJ2BZWXK</v>
          </cell>
          <cell r="B247" t="str">
            <v>PRFCSS001-50-P1</v>
          </cell>
          <cell r="C247" t="str">
            <v>PROWL</v>
          </cell>
        </row>
        <row r="248">
          <cell r="A248" t="str">
            <v>B0FJ2JHL43</v>
          </cell>
          <cell r="B248" t="str">
            <v>PRBCBW001-250-P1</v>
          </cell>
          <cell r="C248" t="str">
            <v>PROWL</v>
          </cell>
        </row>
        <row r="249">
          <cell r="A249" t="str">
            <v>B0FJ2JBL4J</v>
          </cell>
          <cell r="B249" t="str">
            <v>PRBCUR001-40-P1</v>
          </cell>
          <cell r="C249" t="str">
            <v>PROWL</v>
          </cell>
        </row>
        <row r="250">
          <cell r="A250" t="str">
            <v>B0FJ2GXG5K</v>
          </cell>
          <cell r="B250" t="str">
            <v>PRFCFC001-50-P1</v>
          </cell>
          <cell r="C250" t="str">
            <v>PROWL</v>
          </cell>
        </row>
        <row r="251">
          <cell r="A251" t="str">
            <v>B0FJ2K6919</v>
          </cell>
          <cell r="B251" t="str">
            <v>PRFCLB001-04-P1</v>
          </cell>
          <cell r="C251" t="str">
            <v>PROWL</v>
          </cell>
        </row>
        <row r="252">
          <cell r="A252" t="str">
            <v>B0FMD9C9PB</v>
          </cell>
          <cell r="B252" t="str">
            <v>BJMZ0007-MMBKV04S-CR</v>
          </cell>
          <cell r="C252" t="str">
            <v>BOXJOY</v>
          </cell>
        </row>
        <row r="253">
          <cell r="A253" t="str">
            <v>B0FMDM6QMV</v>
          </cell>
          <cell r="B253" t="str">
            <v>BJMZ0008-MMWHV04S-CR</v>
          </cell>
          <cell r="C253" t="str">
            <v>BOXJOY</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mazon 3P"/>
      <sheetName val="Sheet1"/>
    </sheetNames>
    <sheetDataSet>
      <sheetData sheetId="0" refreshError="1"/>
      <sheetData sheetId="1">
        <row r="1">
          <cell r="B1" t="str">
            <v>ASIN</v>
          </cell>
          <cell r="C1" t="str">
            <v>Product Category</v>
          </cell>
          <cell r="D1" t="str">
            <v>Brand</v>
          </cell>
          <cell r="E1" t="str">
            <v>SKU ID</v>
          </cell>
        </row>
        <row r="2">
          <cell r="B2" t="str">
            <v>B0FJ2JHL43</v>
          </cell>
          <cell r="D2" t="str">
            <v>PROWL</v>
          </cell>
          <cell r="E2" t="str">
            <v>PRBCBW001-250-P1-FBA</v>
          </cell>
        </row>
        <row r="3">
          <cell r="B3" t="str">
            <v>B0DNFQL11S</v>
          </cell>
          <cell r="E3" t="str">
            <v>TK-SW-4INCH-P1-FBA</v>
          </cell>
        </row>
        <row r="4">
          <cell r="B4" t="str">
            <v>B0CQJWV4PD</v>
          </cell>
          <cell r="D4" t="str">
            <v>TRENDIKRAFT</v>
          </cell>
          <cell r="E4" t="str">
            <v>TK-RESIN-21-150-TWINCOASTER-FBA</v>
          </cell>
        </row>
        <row r="5">
          <cell r="B5" t="str">
            <v>B0FJ2J1JL6</v>
          </cell>
          <cell r="D5" t="str">
            <v>PROWL</v>
          </cell>
          <cell r="E5" t="str">
            <v>PRFCFW001-100-P1-FBA</v>
          </cell>
        </row>
        <row r="6">
          <cell r="B6" t="str">
            <v>B0FJ2BZWXK</v>
          </cell>
          <cell r="D6" t="str">
            <v>PROWL</v>
          </cell>
          <cell r="E6" t="str">
            <v>PRFCSS001-50-P1-FBA</v>
          </cell>
        </row>
        <row r="7">
          <cell r="B7" t="str">
            <v>B0FJ2JBL4J</v>
          </cell>
          <cell r="D7" t="str">
            <v>PROWL</v>
          </cell>
          <cell r="E7" t="str">
            <v>PRBCUR001-40-P1-FBA</v>
          </cell>
        </row>
        <row r="8">
          <cell r="B8" t="str">
            <v>B0DRDC3KQ4</v>
          </cell>
          <cell r="D8" t="str">
            <v>BOXJOY</v>
          </cell>
          <cell r="E8" t="str">
            <v>BJWZ0028-VBTRLP3-FBA</v>
          </cell>
        </row>
        <row r="9">
          <cell r="B9" t="str">
            <v>B0D6W6HPLS</v>
          </cell>
          <cell r="E9" t="str">
            <v>EB-Steel Bottle-Modern Art-1L-P1 V1 FBA</v>
          </cell>
        </row>
        <row r="10">
          <cell r="B10" t="str">
            <v>B0DR9HSWP3</v>
          </cell>
          <cell r="D10" t="str">
            <v>BOXJOY</v>
          </cell>
          <cell r="E10" t="str">
            <v>BJWZ0010-OXGYSTL-P4-FBA</v>
          </cell>
        </row>
        <row r="11">
          <cell r="B11" t="str">
            <v>B0DRDD3D14</v>
          </cell>
          <cell r="D11" t="str">
            <v>BOXJOY</v>
          </cell>
          <cell r="E11" t="str">
            <v>BJWZ0029-VBTRJP3-FBA</v>
          </cell>
        </row>
        <row r="12">
          <cell r="B12" t="str">
            <v>B0FCMMVN95</v>
          </cell>
          <cell r="E12" t="str">
            <v>EB-SS-SG-750ml-P1-FBA</v>
          </cell>
        </row>
        <row r="13">
          <cell r="B13" t="str">
            <v>B0FCML8S9H</v>
          </cell>
          <cell r="E13" t="str">
            <v>EB-SS-MA-750ml-P1-FBA</v>
          </cell>
        </row>
        <row r="14">
          <cell r="B14" t="str">
            <v>B0FJ2GXG5K</v>
          </cell>
          <cell r="D14" t="str">
            <v>PROWL</v>
          </cell>
          <cell r="E14" t="str">
            <v>PRFCFC001-50-P1-FBA</v>
          </cell>
        </row>
        <row r="15">
          <cell r="B15" t="str">
            <v>B0FJ2JHL43</v>
          </cell>
          <cell r="D15" t="str">
            <v>PROWL</v>
          </cell>
          <cell r="E15" t="str">
            <v>PRBCBW001-250-P1</v>
          </cell>
        </row>
        <row r="16">
          <cell r="B16" t="str">
            <v>B0DQ5TMTZV</v>
          </cell>
          <cell r="D16" t="str">
            <v>BOXJOY</v>
          </cell>
          <cell r="E16" t="str">
            <v>BJFZ0010-PPBT12S-CLOTHRACK</v>
          </cell>
        </row>
        <row r="17">
          <cell r="B17" t="str">
            <v>B0DSWKKM92</v>
          </cell>
          <cell r="D17" t="str">
            <v>BOXJOY</v>
          </cell>
          <cell r="E17" t="str">
            <v>BJDZ0002-PETR016-FBA</v>
          </cell>
        </row>
        <row r="18">
          <cell r="B18" t="str">
            <v>B0FGJY58J9</v>
          </cell>
          <cell r="D18" t="str">
            <v>BOXJOY</v>
          </cell>
          <cell r="E18" t="str">
            <v>BJWZ0033-VBTRJP6-FBA</v>
          </cell>
        </row>
        <row r="19">
          <cell r="B19" t="str">
            <v>B0FKTP5GJQ</v>
          </cell>
          <cell r="E19" t="str">
            <v>BJPZ0001-MMBKLP-FBA</v>
          </cell>
        </row>
        <row r="20">
          <cell r="B20" t="str">
            <v>B0CQ4SQ3VG</v>
          </cell>
          <cell r="E20" t="str">
            <v>EB-Seamless-Marble Design V1</v>
          </cell>
        </row>
        <row r="21">
          <cell r="B21" t="str">
            <v>B0CQ581TW3</v>
          </cell>
          <cell r="E21" t="str">
            <v>EB-Steel Bottle-Smooth Grey-1L-P2 V1 FBA</v>
          </cell>
        </row>
        <row r="22">
          <cell r="B22" t="str">
            <v>B0CQ5B17JG</v>
          </cell>
          <cell r="E22" t="str">
            <v>EB-Steel Bottle-Smooth Grey-750ml-P1 V1</v>
          </cell>
        </row>
        <row r="23">
          <cell r="B23" t="str">
            <v>B0CQJWCP1Q</v>
          </cell>
          <cell r="D23" t="str">
            <v>TRENDIKRAFT</v>
          </cell>
          <cell r="E23" t="str">
            <v>TK-RESIN-21-150-ULTIMATE</v>
          </cell>
        </row>
        <row r="24">
          <cell r="B24" t="str">
            <v>B0D6CFD2SN</v>
          </cell>
          <cell r="E24" t="str">
            <v>EB-Steel Bottle-Smooth Black-1L-P1 V1</v>
          </cell>
        </row>
        <row r="25">
          <cell r="B25" t="str">
            <v>B0D6CFD2SN</v>
          </cell>
          <cell r="E25" t="str">
            <v>EB-Steel Bottle-Smooth Black-1L-P1 V1FBA</v>
          </cell>
        </row>
        <row r="26">
          <cell r="B26" t="str">
            <v>B0D6W6HPLS</v>
          </cell>
          <cell r="E26" t="str">
            <v>EB-Steel Bottle-Modern Art-1L-P1 V1</v>
          </cell>
        </row>
        <row r="27">
          <cell r="B27" t="str">
            <v>B0DR9JFTPF</v>
          </cell>
          <cell r="D27" t="str">
            <v>BOXJOY</v>
          </cell>
          <cell r="E27" t="str">
            <v>BJWZ0022-PCLG110-FBA</v>
          </cell>
        </row>
        <row r="28">
          <cell r="B28" t="str">
            <v>B0DR9JSKGQ</v>
          </cell>
          <cell r="D28" t="str">
            <v>BOXJOY</v>
          </cell>
          <cell r="E28" t="str">
            <v>BJWZ0017-POLG24L-FBA</v>
          </cell>
        </row>
        <row r="29">
          <cell r="B29" t="str">
            <v>B0DR9LL896</v>
          </cell>
          <cell r="D29" t="str">
            <v>BOXJOY</v>
          </cell>
          <cell r="E29" t="str">
            <v>BJWZ0010-OXGYSTL-P2-FBA</v>
          </cell>
        </row>
        <row r="30">
          <cell r="B30" t="str">
            <v>B0DR9MVW7T</v>
          </cell>
          <cell r="D30" t="str">
            <v>BOXJOY</v>
          </cell>
          <cell r="E30" t="str">
            <v>BJWZ0019-POLG110-FBA</v>
          </cell>
        </row>
        <row r="31">
          <cell r="B31" t="str">
            <v>B0DR9N7Q8F</v>
          </cell>
          <cell r="D31" t="str">
            <v>BOXJOY</v>
          </cell>
          <cell r="E31" t="str">
            <v>BJWZ0012-PCLGSTL-P2</v>
          </cell>
        </row>
        <row r="32">
          <cell r="B32" t="str">
            <v>B0DR9P2H1V</v>
          </cell>
          <cell r="D32" t="str">
            <v>BOXJOY</v>
          </cell>
          <cell r="E32" t="str">
            <v>BJWZ0010-OXGYSTL-P6-FBA</v>
          </cell>
        </row>
        <row r="33">
          <cell r="B33" t="str">
            <v>B0DRDGQJ88</v>
          </cell>
          <cell r="D33" t="str">
            <v>BOXJOY</v>
          </cell>
          <cell r="E33" t="str">
            <v>BJWZ0027-VBTRMP3-FBA</v>
          </cell>
        </row>
        <row r="34">
          <cell r="B34" t="str">
            <v>B0F4DHRLN8</v>
          </cell>
          <cell r="E34" t="str">
            <v>BOXJOY-2WT-1D</v>
          </cell>
        </row>
        <row r="35">
          <cell r="B35" t="str">
            <v>B0FCMMFSCW</v>
          </cell>
          <cell r="E35" t="str">
            <v>EB-SS-BM-750ml-P1-FBA</v>
          </cell>
        </row>
        <row r="36">
          <cell r="B36" t="str">
            <v>B0FGJWZ2FQ</v>
          </cell>
          <cell r="D36" t="str">
            <v>BOXJOY</v>
          </cell>
          <cell r="E36" t="str">
            <v>BJWZ0035-VBTRC20-FBA</v>
          </cell>
        </row>
        <row r="37">
          <cell r="B37" t="str">
            <v>B0FGJWZQGH</v>
          </cell>
          <cell r="D37" t="str">
            <v>BOXJOY</v>
          </cell>
          <cell r="E37" t="str">
            <v>BJWZ0034-VBTRC12-FBA</v>
          </cell>
        </row>
        <row r="38">
          <cell r="B38" t="str">
            <v>B0FMD9C9PB</v>
          </cell>
          <cell r="E38" t="str">
            <v>BJMZ0007-MMBKV04S-CR</v>
          </cell>
        </row>
        <row r="39">
          <cell r="B39" t="str">
            <v>B0DNFQL11S</v>
          </cell>
          <cell r="E39" t="str">
            <v>TK-SW-4INCH-P1-FBA</v>
          </cell>
        </row>
        <row r="40">
          <cell r="B40" t="str">
            <v>B0CQJWV4PD</v>
          </cell>
          <cell r="D40" t="str">
            <v>TRENDIKRAFT</v>
          </cell>
          <cell r="E40" t="str">
            <v>TK-RESIN-21-150-TWINCOASTER-FBA</v>
          </cell>
        </row>
        <row r="41">
          <cell r="B41" t="str">
            <v>B0FJ2BZWXK</v>
          </cell>
          <cell r="D41" t="str">
            <v>PROWL</v>
          </cell>
          <cell r="E41" t="str">
            <v>PRFCSS001-50-P1-FBA</v>
          </cell>
        </row>
        <row r="42">
          <cell r="B42" t="str">
            <v>B0FJ2J1JL6</v>
          </cell>
          <cell r="D42" t="str">
            <v>PROWL</v>
          </cell>
          <cell r="E42" t="str">
            <v>PRFCFW001-100-P1-FBA</v>
          </cell>
        </row>
        <row r="43">
          <cell r="B43" t="str">
            <v>B0FJ2JBL4J</v>
          </cell>
          <cell r="D43" t="str">
            <v>PROWL</v>
          </cell>
          <cell r="E43" t="str">
            <v>PRBCUR001-40-P1-FBA</v>
          </cell>
        </row>
        <row r="44">
          <cell r="B44" t="str">
            <v>B0FJ2GXG5K</v>
          </cell>
          <cell r="D44" t="str">
            <v>PROWL</v>
          </cell>
          <cell r="E44" t="str">
            <v>PRFCFC001-50-P1-FBA</v>
          </cell>
        </row>
        <row r="45">
          <cell r="B45" t="str">
            <v>B0FCMMVN95</v>
          </cell>
          <cell r="E45" t="str">
            <v>EB-SS-SG-750ml-P1-FBA</v>
          </cell>
        </row>
        <row r="46">
          <cell r="B46" t="str">
            <v>B0FJ2JHL43</v>
          </cell>
          <cell r="D46" t="str">
            <v>PROWL</v>
          </cell>
          <cell r="E46" t="str">
            <v>PRBCBW001-250-P1-FBA</v>
          </cell>
        </row>
        <row r="47">
          <cell r="B47" t="str">
            <v>B0D6CFD2SN</v>
          </cell>
          <cell r="E47" t="str">
            <v>EB-Steel Bottle-Smooth Black-1L-P1 V1</v>
          </cell>
        </row>
        <row r="48">
          <cell r="B48" t="str">
            <v>B0DR9HSWP3</v>
          </cell>
          <cell r="D48" t="str">
            <v>BOXJOY</v>
          </cell>
          <cell r="E48" t="str">
            <v>BJWZ0010-OXGYSTL-P4-FBA</v>
          </cell>
        </row>
        <row r="49">
          <cell r="B49" t="str">
            <v>B0DRDC3KQ4</v>
          </cell>
          <cell r="D49" t="str">
            <v>BOXJOY</v>
          </cell>
          <cell r="E49" t="str">
            <v>BJWZ0028-VBTRLP3-FBA</v>
          </cell>
        </row>
        <row r="50">
          <cell r="B50" t="str">
            <v>B0FKTP5GJQ</v>
          </cell>
          <cell r="E50" t="str">
            <v>BJPZ0001-MMBKLP-FBA</v>
          </cell>
        </row>
        <row r="51">
          <cell r="B51" t="str">
            <v>B0FMDM6QMV</v>
          </cell>
          <cell r="E51" t="str">
            <v>BJMZ0008-MMWHV04S-CR</v>
          </cell>
        </row>
        <row r="52">
          <cell r="B52" t="str">
            <v>B0D6W6HPLS</v>
          </cell>
          <cell r="E52" t="str">
            <v>EB-Steel Bottle-Modern Art-1L-P1 V1</v>
          </cell>
        </row>
        <row r="53">
          <cell r="B53" t="str">
            <v>B0D6W6HPLS</v>
          </cell>
          <cell r="E53" t="str">
            <v>EB-Steel Bottle-Modern Art-1L-P1 V1 FBA</v>
          </cell>
        </row>
        <row r="54">
          <cell r="B54" t="str">
            <v>B0DR9KS9JM</v>
          </cell>
          <cell r="D54" t="str">
            <v>BOXJOY</v>
          </cell>
          <cell r="E54" t="str">
            <v>BJWZ0014-PVTR24L-FBA</v>
          </cell>
        </row>
        <row r="55">
          <cell r="B55" t="str">
            <v>B0DRDD3D14</v>
          </cell>
          <cell r="D55" t="str">
            <v>BOXJOY</v>
          </cell>
          <cell r="E55" t="str">
            <v>BJWZ0029-VBTRJP3-FBA</v>
          </cell>
        </row>
        <row r="56">
          <cell r="B56" t="str">
            <v>B0FCML8S9H</v>
          </cell>
          <cell r="E56" t="str">
            <v>EB-SS-MA-750ml-P1-FBA</v>
          </cell>
        </row>
        <row r="57">
          <cell r="B57" t="str">
            <v>B0FMD9C9PB</v>
          </cell>
          <cell r="E57" t="str">
            <v>BJMZ0007-MMBKV04S-CR</v>
          </cell>
        </row>
        <row r="58">
          <cell r="B58" t="str">
            <v>B0BNNNZNZ1</v>
          </cell>
          <cell r="E58" t="str">
            <v>EB-Tower-Marble Design-FBA</v>
          </cell>
        </row>
        <row r="59">
          <cell r="B59" t="str">
            <v>B0CQ581TW3</v>
          </cell>
          <cell r="E59" t="str">
            <v>EB-Steel Bottle-Smooth Grey-1L-P2 V1 FBA</v>
          </cell>
        </row>
        <row r="60">
          <cell r="B60" t="str">
            <v>B0CQ7QHFPD</v>
          </cell>
          <cell r="E60" t="str">
            <v>EB-Tower-Smooth Grey V1-FBA</v>
          </cell>
        </row>
        <row r="61">
          <cell r="B61" t="str">
            <v>B0CQ7V4FZZ</v>
          </cell>
          <cell r="E61" t="str">
            <v>EB-Seamless-Smooth Grey V1 FBA</v>
          </cell>
        </row>
        <row r="62">
          <cell r="B62" t="str">
            <v>B0CQ7VQKWD</v>
          </cell>
          <cell r="E62" t="str">
            <v>EB-Seamless-Funky Flower V1 FBA</v>
          </cell>
        </row>
        <row r="63">
          <cell r="B63" t="str">
            <v>B0D6CTLM5Z</v>
          </cell>
          <cell r="E63" t="str">
            <v>EB-SteelBottle-SmoothBlack-750ml-P1V1FBA</v>
          </cell>
        </row>
        <row r="64">
          <cell r="B64" t="str">
            <v>B0DQ5TMTZV</v>
          </cell>
          <cell r="D64" t="str">
            <v>BOXJOY</v>
          </cell>
          <cell r="E64" t="str">
            <v>BJFZ0010-PPBT12S-CLOTHRACK</v>
          </cell>
        </row>
        <row r="65">
          <cell r="B65" t="str">
            <v>B0DR9MKR78</v>
          </cell>
          <cell r="D65" t="str">
            <v>BOXJOY</v>
          </cell>
          <cell r="E65" t="str">
            <v>BJWZ0008-PVTRSTL-P4</v>
          </cell>
        </row>
        <row r="66">
          <cell r="B66" t="str">
            <v>B0F4DDT3QN</v>
          </cell>
          <cell r="E66" t="str">
            <v>BOXJOY-2BT-1D</v>
          </cell>
        </row>
        <row r="67">
          <cell r="B67" t="str">
            <v>B0FJ2BZWXK</v>
          </cell>
          <cell r="D67" t="str">
            <v>PROWL</v>
          </cell>
          <cell r="E67" t="str">
            <v>PRFCSS001-50-P1</v>
          </cell>
        </row>
        <row r="68">
          <cell r="B68" t="str">
            <v>B0FJ2GXG5K</v>
          </cell>
          <cell r="D68" t="str">
            <v>PROWL</v>
          </cell>
          <cell r="E68" t="str">
            <v>PRFCFC001-50-P1-FBA</v>
          </cell>
        </row>
        <row r="69">
          <cell r="B69" t="str">
            <v>B0FJ2JHL43</v>
          </cell>
          <cell r="D69" t="str">
            <v>PROWL</v>
          </cell>
          <cell r="E69" t="str">
            <v>PRBCBW001-250-P1-FBA</v>
          </cell>
        </row>
        <row r="70">
          <cell r="B70" t="str">
            <v>B0FJ2BZWXK</v>
          </cell>
          <cell r="D70" t="str">
            <v>PROWL</v>
          </cell>
          <cell r="E70" t="str">
            <v>PRFCSS001-50-P1-FBA</v>
          </cell>
        </row>
        <row r="71">
          <cell r="B71" t="str">
            <v>B0DNFQL11S</v>
          </cell>
          <cell r="E71" t="str">
            <v>TK-SW-4INCH-P1-FBA</v>
          </cell>
        </row>
        <row r="72">
          <cell r="B72" t="str">
            <v>B0FJ2JBL4J</v>
          </cell>
          <cell r="D72" t="str">
            <v>PROWL</v>
          </cell>
          <cell r="E72" t="str">
            <v>PRBCUR001-40-P1-FBA</v>
          </cell>
        </row>
        <row r="73">
          <cell r="B73" t="str">
            <v>B0FJ2J1JL6</v>
          </cell>
          <cell r="D73" t="str">
            <v>PROWL</v>
          </cell>
          <cell r="E73" t="str">
            <v>PRFCFW001-100-P1-FBA</v>
          </cell>
        </row>
        <row r="74">
          <cell r="B74" t="str">
            <v>B0CQJWV4PD</v>
          </cell>
          <cell r="D74" t="str">
            <v>TRENDIKRAFT</v>
          </cell>
          <cell r="E74" t="str">
            <v>TK-RESIN-21-150-TWINCOASTER-FBA</v>
          </cell>
        </row>
        <row r="75">
          <cell r="B75" t="str">
            <v>B0DRDC3KQ4</v>
          </cell>
          <cell r="D75" t="str">
            <v>BOXJOY</v>
          </cell>
          <cell r="E75" t="str">
            <v>BJWZ0028-VBTRLP3-FBA</v>
          </cell>
        </row>
        <row r="76">
          <cell r="B76" t="str">
            <v>B0FKTP5GJQ</v>
          </cell>
          <cell r="E76" t="str">
            <v>BJPZ0001-MMBKLP-FBA</v>
          </cell>
        </row>
        <row r="77">
          <cell r="B77" t="str">
            <v>B0FCMMVN95</v>
          </cell>
          <cell r="E77" t="str">
            <v>EB-SS-SG-750ml-P1-FBA</v>
          </cell>
        </row>
        <row r="78">
          <cell r="B78" t="str">
            <v>B0D6W6HPLS</v>
          </cell>
          <cell r="E78" t="str">
            <v>EB-Steel Bottle-Modern Art-1L-P1 V1 FBA</v>
          </cell>
        </row>
        <row r="79">
          <cell r="B79" t="str">
            <v>B0DSWKKM92</v>
          </cell>
          <cell r="D79" t="str">
            <v>BOXJOY</v>
          </cell>
          <cell r="E79" t="str">
            <v>BJDZ0002-PETR016-FBA</v>
          </cell>
        </row>
        <row r="80">
          <cell r="B80" t="str">
            <v>B0CQ7VQKWD</v>
          </cell>
          <cell r="E80" t="str">
            <v>EB-Seamless-Funky Flower V1 FBA</v>
          </cell>
        </row>
        <row r="81">
          <cell r="B81" t="str">
            <v>B0DR9HSWP3</v>
          </cell>
          <cell r="D81" t="str">
            <v>BOXJOY</v>
          </cell>
          <cell r="E81" t="str">
            <v>BJWZ0010-OXGYSTL-P4-FBA</v>
          </cell>
        </row>
        <row r="82">
          <cell r="B82" t="str">
            <v>B0DRDD3D14</v>
          </cell>
          <cell r="D82" t="str">
            <v>BOXJOY</v>
          </cell>
          <cell r="E82" t="str">
            <v>BJWZ0029-VBTRJP3-FBA</v>
          </cell>
        </row>
        <row r="83">
          <cell r="B83" t="str">
            <v>B0CQ5B3Y44</v>
          </cell>
          <cell r="E83" t="str">
            <v>EB-Steel-Funky Flower-750ml-P1 V1-FBA</v>
          </cell>
        </row>
        <row r="84">
          <cell r="B84" t="str">
            <v>B0FJ2BZWXK</v>
          </cell>
          <cell r="D84" t="str">
            <v>PROWL</v>
          </cell>
          <cell r="E84" t="str">
            <v>PRFCSS001-50-P1</v>
          </cell>
        </row>
        <row r="85">
          <cell r="B85" t="str">
            <v>B0CQ581TW3</v>
          </cell>
          <cell r="E85" t="str">
            <v>EB-Steel Bottle-Smooth Grey-1L-P2 V1 FBA</v>
          </cell>
        </row>
        <row r="86">
          <cell r="B86" t="str">
            <v>B0CQ7V4FZZ</v>
          </cell>
          <cell r="E86" t="str">
            <v>EB-Seamless-Smooth Grey V1 FBA</v>
          </cell>
        </row>
        <row r="87">
          <cell r="B87" t="str">
            <v>B0D6CFD2SN</v>
          </cell>
          <cell r="E87" t="str">
            <v>EB-Steel Bottle-Smooth Black-1L-P1 V1FBA</v>
          </cell>
        </row>
        <row r="88">
          <cell r="B88" t="str">
            <v>B0D6CFD2SN</v>
          </cell>
          <cell r="E88" t="str">
            <v>EB-Steel Bottle-Smooth Black-1L-P1 V1</v>
          </cell>
        </row>
        <row r="89">
          <cell r="B89" t="str">
            <v>B0D6W6HPLS</v>
          </cell>
          <cell r="E89" t="str">
            <v>EB-Steel Bottle-Modern Art-1L-P1 V1</v>
          </cell>
        </row>
        <row r="90">
          <cell r="B90" t="str">
            <v>B0DR9JSKGQ</v>
          </cell>
          <cell r="D90" t="str">
            <v>BOXJOY</v>
          </cell>
          <cell r="E90" t="str">
            <v>BJWZ0017-POLG24L-FBA</v>
          </cell>
        </row>
        <row r="91">
          <cell r="B91" t="str">
            <v>B0F4DDT3QN</v>
          </cell>
          <cell r="E91" t="str">
            <v>BOXJOY-2BT-1D</v>
          </cell>
        </row>
        <row r="92">
          <cell r="B92" t="str">
            <v>B0FCML8S9H</v>
          </cell>
          <cell r="E92" t="str">
            <v>EB-SS-MA-750ml-P1-FBA</v>
          </cell>
        </row>
        <row r="93">
          <cell r="B93" t="str">
            <v>B0FGJWZ2FQ</v>
          </cell>
          <cell r="D93" t="str">
            <v>BOXJOY</v>
          </cell>
          <cell r="E93" t="str">
            <v>BJWZ0035-VBTRC20-FBA</v>
          </cell>
        </row>
        <row r="94">
          <cell r="B94" t="str">
            <v>B0FJ2JHL43</v>
          </cell>
          <cell r="D94" t="str">
            <v>PROWL</v>
          </cell>
          <cell r="E94" t="str">
            <v>PRBCBW001-250-P1</v>
          </cell>
        </row>
        <row r="95">
          <cell r="B95" t="str">
            <v>B0FJ2K6919</v>
          </cell>
          <cell r="D95" t="str">
            <v>PROWL</v>
          </cell>
          <cell r="E95" t="str">
            <v>PRFCLB001-04-P1</v>
          </cell>
        </row>
        <row r="96">
          <cell r="B96" t="str">
            <v>B0FJ2J1JL6</v>
          </cell>
          <cell r="D96" t="str">
            <v>PROWL</v>
          </cell>
          <cell r="E96" t="str">
            <v>PRFCFW001-100-P1-FBA</v>
          </cell>
        </row>
        <row r="97">
          <cell r="B97" t="str">
            <v>B0FJ2BZWXK</v>
          </cell>
          <cell r="D97" t="str">
            <v>PROWL</v>
          </cell>
          <cell r="E97" t="str">
            <v>PRFCSS001-50-P1-FBA</v>
          </cell>
        </row>
        <row r="98">
          <cell r="B98" t="str">
            <v>B0DNFQL11S</v>
          </cell>
          <cell r="E98" t="str">
            <v>TK-SW-4INCH-P1-FBA</v>
          </cell>
        </row>
        <row r="99">
          <cell r="B99" t="str">
            <v>B0FJ2JBL4J</v>
          </cell>
          <cell r="D99" t="str">
            <v>PROWL</v>
          </cell>
          <cell r="E99" t="str">
            <v>PRBCUR001-40-P1-FBA</v>
          </cell>
        </row>
        <row r="100">
          <cell r="B100" t="str">
            <v>B0CQJWV4PD</v>
          </cell>
          <cell r="D100" t="str">
            <v>TRENDIKRAFT</v>
          </cell>
          <cell r="E100" t="str">
            <v>TK-RESIN-21-150-TWINCOASTER-FBA</v>
          </cell>
        </row>
        <row r="101">
          <cell r="B101" t="str">
            <v>B0FJ2JHL43</v>
          </cell>
          <cell r="D101" t="str">
            <v>PROWL</v>
          </cell>
          <cell r="E101" t="str">
            <v>PRBCBW001-250-P1-FBA</v>
          </cell>
        </row>
        <row r="102">
          <cell r="B102" t="str">
            <v>B0FCMMVN95</v>
          </cell>
          <cell r="E102" t="str">
            <v>EB-SS-SG-750ml-P1-FBA</v>
          </cell>
        </row>
        <row r="103">
          <cell r="B103" t="str">
            <v>B0D6W6HPLS</v>
          </cell>
          <cell r="E103" t="str">
            <v>EB-Steel Bottle-Modern Art-1L-P1 V1 FBA</v>
          </cell>
        </row>
        <row r="104">
          <cell r="B104" t="str">
            <v>B0DRDD3D14</v>
          </cell>
          <cell r="D104" t="str">
            <v>BOXJOY</v>
          </cell>
          <cell r="E104" t="str">
            <v>BJWZ0029-VBTRJP3-FBA</v>
          </cell>
        </row>
        <row r="105">
          <cell r="B105" t="str">
            <v>B0FJ2GXG5K</v>
          </cell>
          <cell r="D105" t="str">
            <v>PROWL</v>
          </cell>
          <cell r="E105" t="str">
            <v>PRFCFC001-50-P1-FBA</v>
          </cell>
        </row>
        <row r="106">
          <cell r="B106" t="str">
            <v>B0FGK1B341</v>
          </cell>
          <cell r="E106" t="str">
            <v>BJWZ0032-VBTRLP6-FBA</v>
          </cell>
        </row>
        <row r="107">
          <cell r="B107" t="str">
            <v>B0DQ5TMTZV</v>
          </cell>
          <cell r="D107" t="str">
            <v>BOXJOY</v>
          </cell>
          <cell r="E107" t="str">
            <v>BJFZ0010-PPBT12S-CLOTHRACK</v>
          </cell>
        </row>
        <row r="108">
          <cell r="B108" t="str">
            <v>B0CG9VWGBT</v>
          </cell>
          <cell r="D108" t="str">
            <v>TRENDIKRAFT</v>
          </cell>
          <cell r="E108" t="str">
            <v>TK-RESINKIT-31-1200-FBA</v>
          </cell>
        </row>
        <row r="109">
          <cell r="B109" t="str">
            <v>B0CQ581TW3</v>
          </cell>
          <cell r="E109" t="str">
            <v>EB-Steel Bottle-Smooth Grey-1L-P2 V1 FBA</v>
          </cell>
        </row>
        <row r="110">
          <cell r="B110" t="str">
            <v>B0CQ7V4FZZ</v>
          </cell>
          <cell r="E110" t="str">
            <v>EB-Seamless-Smooth Grey V1 FBA</v>
          </cell>
        </row>
        <row r="111">
          <cell r="B111" t="str">
            <v>B0CQ7VQKWD</v>
          </cell>
          <cell r="E111" t="str">
            <v>EB-Seamless-Funky Flower V1 FBA</v>
          </cell>
        </row>
        <row r="112">
          <cell r="B112" t="str">
            <v>B0DR9HSWP3</v>
          </cell>
          <cell r="D112" t="str">
            <v>BOXJOY</v>
          </cell>
          <cell r="E112" t="str">
            <v>BJWZ0010-OXGYSTL-P4-FBA</v>
          </cell>
        </row>
        <row r="113">
          <cell r="B113" t="str">
            <v>B0FCML8S9H</v>
          </cell>
          <cell r="E113" t="str">
            <v>EB-SS-MA-750ml-P1-FBA</v>
          </cell>
        </row>
        <row r="114">
          <cell r="B114" t="str">
            <v>B0FCMMFSCW</v>
          </cell>
          <cell r="E114" t="str">
            <v>EB-SS-BM-750ml-P1-FBA</v>
          </cell>
        </row>
        <row r="115">
          <cell r="B115" t="str">
            <v>B0FKTP5GJQ</v>
          </cell>
          <cell r="E115" t="str">
            <v>BJPZ0001-MMBKLP-FBA</v>
          </cell>
        </row>
        <row r="116">
          <cell r="B116" t="str">
            <v>B0FMDM6QMV</v>
          </cell>
          <cell r="E116" t="str">
            <v>BJMZ0008-MMWHV04S-CR</v>
          </cell>
        </row>
        <row r="117">
          <cell r="B117" t="str">
            <v>B0CQ5B3Y44</v>
          </cell>
          <cell r="E117" t="str">
            <v>EB-Steel-Funky Flower-750ml-P1 V1-FBA</v>
          </cell>
        </row>
        <row r="118">
          <cell r="B118" t="str">
            <v>B0CQ7QHFPD</v>
          </cell>
          <cell r="E118" t="str">
            <v>EB-Tower-Smooth Grey V1-FBA</v>
          </cell>
        </row>
        <row r="119">
          <cell r="B119" t="str">
            <v>B0DR9KDFXJ</v>
          </cell>
          <cell r="D119" t="str">
            <v>BOXJOY</v>
          </cell>
          <cell r="E119" t="str">
            <v>BJWZ0008-PVTRSTL-P2</v>
          </cell>
        </row>
        <row r="120">
          <cell r="B120" t="str">
            <v>B0DR9KS9JM</v>
          </cell>
          <cell r="D120" t="str">
            <v>BOXJOY</v>
          </cell>
          <cell r="E120" t="str">
            <v>BJWZ0014-PVTR24L-FBA</v>
          </cell>
        </row>
        <row r="121">
          <cell r="B121" t="str">
            <v>B0DR9MG4MS</v>
          </cell>
          <cell r="D121" t="str">
            <v>BOXJOY</v>
          </cell>
          <cell r="E121" t="str">
            <v>BJWZ0004-POLG13G-FBA</v>
          </cell>
        </row>
        <row r="122">
          <cell r="B122" t="str">
            <v>B0DRDC3KQ4</v>
          </cell>
          <cell r="D122" t="str">
            <v>BOXJOY</v>
          </cell>
          <cell r="E122" t="str">
            <v>BJWZ0028-VBTRLP3-FBA</v>
          </cell>
        </row>
        <row r="123">
          <cell r="B123" t="str">
            <v>B0DSWKKM92</v>
          </cell>
          <cell r="D123" t="str">
            <v>BOXJOY</v>
          </cell>
          <cell r="E123" t="str">
            <v>BJDZ0002-PETR016-FBA</v>
          </cell>
        </row>
        <row r="124">
          <cell r="B124" t="str">
            <v>B0F4DHRLN8</v>
          </cell>
          <cell r="E124" t="str">
            <v>BOXJOY-2WT-1D</v>
          </cell>
        </row>
        <row r="125">
          <cell r="B125" t="str">
            <v>B0F71RY7C4</v>
          </cell>
          <cell r="E125" t="str">
            <v>BOXJOY-2BT-1D-CLOTHRACK</v>
          </cell>
        </row>
        <row r="126">
          <cell r="B126" t="str">
            <v>B0FJ2JBL4J</v>
          </cell>
          <cell r="D126" t="str">
            <v>PROWL</v>
          </cell>
          <cell r="E126" t="str">
            <v>PRBCUR001-40-P1</v>
          </cell>
        </row>
        <row r="127">
          <cell r="B127" t="str">
            <v>B0FKTKGZZR</v>
          </cell>
          <cell r="D127" t="str">
            <v>BOXJOY</v>
          </cell>
          <cell r="E127" t="str">
            <v>BJMZ0010-MMWHH05S</v>
          </cell>
        </row>
        <row r="128">
          <cell r="B128" t="str">
            <v>B0DNFQL11S</v>
          </cell>
          <cell r="E128" t="str">
            <v>TK-SW-4INCH-P1-FBA</v>
          </cell>
        </row>
        <row r="129">
          <cell r="B129" t="str">
            <v>B0FJ2JBL4J</v>
          </cell>
          <cell r="D129" t="str">
            <v>PROWL</v>
          </cell>
          <cell r="E129" t="str">
            <v>PRBCUR001-40-P1-FBA</v>
          </cell>
        </row>
        <row r="130">
          <cell r="B130" t="str">
            <v>B0FJ2BZWXK</v>
          </cell>
          <cell r="D130" t="str">
            <v>PROWL</v>
          </cell>
          <cell r="E130" t="str">
            <v>PRFCSS001-50-P1-FBA</v>
          </cell>
        </row>
        <row r="131">
          <cell r="B131" t="str">
            <v>B0FJ2J1JL6</v>
          </cell>
          <cell r="D131" t="str">
            <v>PROWL</v>
          </cell>
          <cell r="E131" t="str">
            <v>PRFCFW001-100-P1-FBA</v>
          </cell>
        </row>
        <row r="132">
          <cell r="B132" t="str">
            <v>B0CQJWV4PD</v>
          </cell>
          <cell r="D132" t="str">
            <v>TRENDIKRAFT</v>
          </cell>
          <cell r="E132" t="str">
            <v>TK-RESIN-21-150-TWINCOASTER-FBA</v>
          </cell>
        </row>
        <row r="133">
          <cell r="B133" t="str">
            <v>B0FJ2GXG5K</v>
          </cell>
          <cell r="D133" t="str">
            <v>PROWL</v>
          </cell>
          <cell r="E133" t="str">
            <v>PRFCFC001-50-P1-FBA</v>
          </cell>
        </row>
        <row r="134">
          <cell r="B134" t="str">
            <v>B0FCMMVN95</v>
          </cell>
          <cell r="E134" t="str">
            <v>EB-SS-SG-750ml-P1-FBA</v>
          </cell>
        </row>
        <row r="135">
          <cell r="B135" t="str">
            <v>B0DRDD3D14</v>
          </cell>
          <cell r="D135" t="str">
            <v>BOXJOY</v>
          </cell>
          <cell r="E135" t="str">
            <v>BJWZ0029-VBTRJP3-FBA</v>
          </cell>
        </row>
        <row r="136">
          <cell r="B136" t="str">
            <v>B0FJ2JHL43</v>
          </cell>
          <cell r="D136" t="str">
            <v>PROWL</v>
          </cell>
          <cell r="E136" t="str">
            <v>PRBCBW001-250-P1-FBA</v>
          </cell>
        </row>
        <row r="137">
          <cell r="B137" t="str">
            <v>B0CQ7VQKWD</v>
          </cell>
          <cell r="E137" t="str">
            <v>EB-Seamless-Funky Flower V1 FBA</v>
          </cell>
        </row>
        <row r="138">
          <cell r="B138" t="str">
            <v>B0D6W6HPLS</v>
          </cell>
          <cell r="E138" t="str">
            <v>EB-Steel Bottle-Modern Art-1L-P1 V1 FBA</v>
          </cell>
        </row>
        <row r="139">
          <cell r="B139" t="str">
            <v>B0FKTP5GJQ</v>
          </cell>
          <cell r="E139" t="str">
            <v>BJPZ0001-MMBKLP-FBA</v>
          </cell>
        </row>
        <row r="140">
          <cell r="B140" t="str">
            <v>B0CQ7V4FZZ</v>
          </cell>
          <cell r="E140" t="str">
            <v>EB-Seamless-Smooth Grey V1 FBA</v>
          </cell>
        </row>
        <row r="141">
          <cell r="B141" t="str">
            <v>B0FMD9C9PB</v>
          </cell>
          <cell r="E141" t="str">
            <v>BJMZ0007-MMBKV04S-CR</v>
          </cell>
        </row>
        <row r="142">
          <cell r="B142" t="str">
            <v>B0CQ87NCWG</v>
          </cell>
          <cell r="E142" t="str">
            <v>EB-Seamless-Classic V1 FBA</v>
          </cell>
        </row>
        <row r="143">
          <cell r="B143" t="str">
            <v>B0CQJWCP1Q</v>
          </cell>
          <cell r="D143" t="str">
            <v>TRENDIKRAFT</v>
          </cell>
          <cell r="E143" t="str">
            <v>TK-RESIN-21-150-ULTIMATE-FBA</v>
          </cell>
        </row>
        <row r="144">
          <cell r="B144" t="str">
            <v>B0D6CFD2SN</v>
          </cell>
          <cell r="E144" t="str">
            <v>EB-Steel Bottle-Smooth Black-1L-P1 V1</v>
          </cell>
        </row>
        <row r="145">
          <cell r="B145" t="str">
            <v>B0DR9KS9JM</v>
          </cell>
          <cell r="D145" t="str">
            <v>BOXJOY</v>
          </cell>
          <cell r="E145" t="str">
            <v>BJWZ0014-PVTR24L-FBA</v>
          </cell>
        </row>
        <row r="146">
          <cell r="B146" t="str">
            <v>B0DSWKKM92</v>
          </cell>
          <cell r="D146" t="str">
            <v>BOXJOY</v>
          </cell>
          <cell r="E146" t="str">
            <v>BJDZ0002-PETR016-FBA</v>
          </cell>
        </row>
        <row r="147">
          <cell r="B147" t="str">
            <v>B0CG9VWGBT</v>
          </cell>
          <cell r="D147" t="str">
            <v>TRENDIKRAFT</v>
          </cell>
          <cell r="E147" t="str">
            <v>TK-RESINKIT-31-1200-FBA</v>
          </cell>
        </row>
        <row r="148">
          <cell r="B148" t="str">
            <v>B0D6CFD2SN</v>
          </cell>
          <cell r="E148" t="str">
            <v>EB-Steel Bottle-Smooth Black-1L-P1 V1FBA</v>
          </cell>
        </row>
        <row r="149">
          <cell r="B149" t="str">
            <v>B0DR9BGVDJ</v>
          </cell>
          <cell r="D149" t="str">
            <v>BOXJOY</v>
          </cell>
          <cell r="E149" t="str">
            <v>BJWZ0026-VBTRMLJ-FBA</v>
          </cell>
        </row>
        <row r="150">
          <cell r="B150" t="str">
            <v>B0DR9HSWP3</v>
          </cell>
          <cell r="D150" t="str">
            <v>BOXJOY</v>
          </cell>
          <cell r="E150" t="str">
            <v>BJWZ0010-OXGYSTL-P4-FBA</v>
          </cell>
        </row>
        <row r="151">
          <cell r="B151" t="str">
            <v>B0DR9JSKGQ</v>
          </cell>
          <cell r="D151" t="str">
            <v>BOXJOY</v>
          </cell>
          <cell r="E151" t="str">
            <v>BJWZ0017-POLG24L-FBA</v>
          </cell>
        </row>
        <row r="152">
          <cell r="B152" t="str">
            <v>B0DR9MKPYZ</v>
          </cell>
          <cell r="D152" t="str">
            <v>BOXJOY</v>
          </cell>
          <cell r="E152" t="str">
            <v>BJWZ0003-POLG17G-FBA</v>
          </cell>
        </row>
        <row r="153">
          <cell r="B153" t="str">
            <v>B0DRDGQJ88</v>
          </cell>
          <cell r="D153" t="str">
            <v>BOXJOY</v>
          </cell>
          <cell r="E153" t="str">
            <v>BJWZ0027-VBTRMP3-FBA</v>
          </cell>
        </row>
        <row r="154">
          <cell r="B154" t="str">
            <v>B0F4DDT3QN</v>
          </cell>
          <cell r="E154" t="str">
            <v>BOXJOY-2BT-1D</v>
          </cell>
        </row>
        <row r="155">
          <cell r="B155" t="str">
            <v>B0FCML8S9H</v>
          </cell>
          <cell r="E155" t="str">
            <v>EB-SS-MA-750ml-P1-FBA</v>
          </cell>
        </row>
        <row r="156">
          <cell r="B156" t="str">
            <v>B0FCMMFSCW</v>
          </cell>
          <cell r="E156" t="str">
            <v>EB-SS-BM-750ml-P1-FBA</v>
          </cell>
        </row>
        <row r="157">
          <cell r="B157" t="str">
            <v>B0FMDM6QMV</v>
          </cell>
          <cell r="E157" t="str">
            <v>BJMZ0008-MMWHV04S-CR</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 refreshedDate="45985.862423842591" createdVersion="8" refreshedVersion="8" minRefreshableVersion="3" recordCount="697" xr:uid="{24E41FC3-E808-4D0B-9D47-7346D973024F}">
  <cacheSource type="worksheet">
    <worksheetSource name="Amazon_1P__2"/>
  </cacheSource>
  <cacheFields count="8">
    <cacheField name="Date" numFmtId="14">
      <sharedItems containsSemiMixedTypes="0" containsNonDate="0" containsDate="1" containsString="0" minDate="2025-08-24T00:00:00" maxDate="2025-08-29T00:00:00" count="5">
        <d v="2025-08-24T00:00:00"/>
        <d v="2025-08-25T00:00:00"/>
        <d v="2025-08-26T00:00:00"/>
        <d v="2025-08-27T00:00:00"/>
        <d v="2025-08-28T00:00:00"/>
      </sharedItems>
    </cacheField>
    <cacheField name="ASIN" numFmtId="0">
      <sharedItems count="125">
        <s v="B0DLVGWRVJ"/>
        <s v="B0DL5SN9XJ"/>
        <s v="B0DLVF925Q"/>
        <s v="B09RWGYLGB"/>
        <s v="B0CQJWCP1Q"/>
        <s v="B0DL5Q78BV"/>
        <s v="B0DRDD3D14"/>
        <s v="B0FJ2GXG5K"/>
        <s v="B0FJ2JBL4J"/>
        <s v="B0FJ2BZWXK"/>
        <s v="B0DR9HSWP3"/>
        <s v="B0FJ2K6919"/>
        <s v="B0FJ2J1JL6"/>
        <s v="B0DR9P2H1V"/>
        <s v="B0DR9LHJ95"/>
        <s v="B0DL5S1HNX"/>
        <s v="B0DSWKKM92"/>
        <s v="B0CGJYXQQX"/>
        <s v="B0DR9MKPYZ"/>
        <s v="B0DL5TT3B1"/>
        <s v="B0DR9JSKGQ"/>
        <s v="B0DR9KS9JM"/>
        <s v="B0DR9K9F2S"/>
        <s v="B0DR9BGVDJ"/>
        <s v="B0DR9MKR78"/>
        <s v="B0DL5RWSYM"/>
        <s v="B0DQ5PK895"/>
        <s v="B0DQ5KFMBQ"/>
        <s v="B0CG9WX5YY"/>
        <s v="B0DRDGQJ88"/>
        <s v="B0DR9LGNRD"/>
        <s v="B0DR9L29BG"/>
        <s v="B0FGPRKH6B"/>
        <s v="B0DRDC3KQ4"/>
        <s v="B0DSWKD33H"/>
        <s v="B0FGJY58J9"/>
        <s v="B0DR9MG4MS"/>
        <s v="B0CQKM5PY8"/>
        <s v="B0DR9N7Q8F"/>
        <s v="B07228JBDL"/>
        <s v="B0CG9XZS42"/>
        <s v="B0DR9KFG48"/>
        <s v="B0DR9KDFXJ"/>
        <s v="B0CGJKKT68"/>
        <s v="B0CGTRKLD9"/>
        <s v="B0CGTBL1QC"/>
        <s v="B0D6GS7ZDV"/>
        <s v="B07WHL36FJ"/>
        <s v="B0D6GSWFX3"/>
        <s v="B0FJ2JHL43"/>
        <s v="B0D6YXXQFN"/>
        <s v="B0CGJS4YPF"/>
        <s v="B0D6NF4V43"/>
        <s v="B0CQKM2N7Y"/>
        <s v="B0DSWHYY5Z"/>
        <s v="B0CG9ZC1WK"/>
        <s v="B0DRCZSP6Q"/>
        <s v="B0DQ5T31BF"/>
        <s v="B0CGJHWRJL"/>
        <s v="B0DQ5TMTZV"/>
        <s v="B0DLVG2BFS"/>
        <s v="B0DL5S9NJK"/>
        <s v="B0D78YQMSX"/>
        <s v="B0FKTM1FQH"/>
        <s v="B0DR9MW2KT"/>
        <s v="B0CGJJJ9RJ"/>
        <s v="B0CQJWV4PD"/>
        <s v="B0CG9T2RQJ"/>
        <s v="B0D78ZQ3HR"/>
        <s v="B0DR9MVW7T"/>
        <s v="B0CGJJQRS1"/>
        <s v="B0CGT4V35W"/>
        <s v="B0FKTV5VTN"/>
        <s v="B0DR9LZH6P"/>
        <s v="B0CG9TF4MK"/>
        <s v="B0DR9LL896"/>
        <s v="B0FGJWZQGH"/>
        <s v="B0CGJH5C7Q"/>
        <s v="B0CQJWKMY8"/>
        <s v="B0DSWJWG3V"/>
        <s v="B0DR9NWCKG"/>
        <s v="B0D78Y95TG"/>
        <s v="B0DQ5SR3TV"/>
        <s v="B0FKTLGWL1"/>
        <s v="B0FKTKGZZR"/>
        <s v="B0CQCSDMF3"/>
        <s v="B0CQKHR4QM"/>
        <s v="B0DQ5MCP6Y"/>
        <s v="B0DQ5Q7MR5"/>
        <s v="B0DQ5RD863"/>
        <s v="B0CGJQXTY5"/>
        <s v="B0FKTLR4VF"/>
        <s v="B0FGJWZ2FQ"/>
        <s v="B0FGQC5YK3"/>
        <s v="B0FKV4NSS2"/>
        <s v="B0CZ6SHWZV"/>
        <s v="B0FKVRYRBG"/>
        <s v="B0CG9VWGBT"/>
        <s v="B0FKV8QS9W"/>
        <s v="B0FGQCX8NL"/>
        <s v="B0DR9JFTPF"/>
        <s v="B0DR9LNWY7"/>
        <s v="B0DNFQL11S"/>
        <s v="B0D6W6HPLS"/>
        <s v="B0FCMMVN95"/>
        <s v="B0FCML8S9H"/>
        <s v="B0FKTP5GJQ"/>
        <s v="B0CQ4SQ3VG"/>
        <s v="B0CQ581TW3"/>
        <s v="B0CQ5B17JG"/>
        <s v="B0D6CFD2SN"/>
        <s v="B0F4DHRLN8"/>
        <s v="B0FCMMFSCW"/>
        <s v="B0FMD9C9PB"/>
        <s v="B0FMDM6QMV"/>
        <s v="B0BNNNZNZ1"/>
        <s v="B0CQ7QHFPD"/>
        <s v="B0CQ7V4FZZ"/>
        <s v="B0CQ7VQKWD"/>
        <s v="B0D6CTLM5Z"/>
        <s v="B0F4DDT3QN"/>
        <s v="B0CQ5B3Y44"/>
        <s v="B0FGK1B341"/>
        <s v="B0F71RY7C4"/>
        <s v="B0CQ87NCWG"/>
      </sharedItems>
    </cacheField>
    <cacheField name="Product Category" numFmtId="0">
      <sharedItems count="22">
        <s v="Footwear Organizer"/>
        <e v="#N/A"/>
        <s v="Resin"/>
        <s v="Wardrobe Organizer"/>
        <s v="Face Care"/>
        <s v="Body Care"/>
        <s v="Drawer Organizer"/>
        <s v="Tape"/>
        <s v="Travel Organizer"/>
        <s v="Multipurpose Organizer"/>
        <s v="Copper Bottle"/>
        <s v="Stretch Film"/>
        <s v="Steel Bottle"/>
        <s v="Pet Organizer"/>
        <s v="Face Wash and Cleanser"/>
        <s v="Body Wash and Shower Gel"/>
        <s v="Shoe Rack"/>
        <s v="Day Cream"/>
        <s v="Roll-Ons"/>
        <s v="Lip Balm"/>
        <s v="Face Sunscreen"/>
        <s v="Organisers"/>
      </sharedItems>
    </cacheField>
    <cacheField name="Brand" numFmtId="0">
      <sharedItems count="6">
        <s v="BOXJOY"/>
        <s v="Ingco"/>
        <s v="TRENDIKRAFT"/>
        <s v="PROWL"/>
        <s v="EB-Everything Beautiful"/>
        <s v="PROWL by Tiger Shroff"/>
      </sharedItems>
    </cacheField>
    <cacheField name="SKU ID" numFmtId="0">
      <sharedItems count="143">
        <s v="BJFZ0016"/>
        <s v="BJFZ0013"/>
        <s v="BJFZ0015"/>
        <e v="#N/A"/>
        <s v="TK-RESIN-21-150-ULTIMATE"/>
        <s v="BJFZ0010"/>
        <s v="BJWZ0029-VBTRJP3-FBA"/>
        <s v="PRFCFC001-50-P1-FBA"/>
        <s v="PRBCUR001-40-P1-FBA"/>
        <s v="PRFCSS001-50-P1-FBA"/>
        <s v="BJWZ0010-OXGYSTL-P4-FBA"/>
        <s v="PRFCLB001-04-P1"/>
        <s v="PRFCFW001-100-P1-FBA"/>
        <s v="BJWZ0010-OXGYSTL-P6-FBA"/>
        <s v="BJWZ0015-PVTR66L"/>
        <s v="BJFZ0011"/>
        <s v="BJDZ0002-PETR016-FBA"/>
        <s v="TK-TAPE-TISSUE-50M-1INCH"/>
        <s v="BJWZ0003-POLG17G-FBA"/>
        <s v="BJFZ0008"/>
        <s v="BJWZ0017-POLG24L-FBA"/>
        <s v="BJWZ0014-PVTR24L-FBA"/>
        <s v="BJWZ0018-POLG66L"/>
        <s v="BJWZ0026-VBTRMLJ-FBA"/>
        <s v="BJWZ0008-PVTRSTL-P4"/>
        <s v="BJFZ0012"/>
        <s v="BJFZ0013-PPBT8S-CLOTHRACK"/>
        <s v="BJFZ0016-PPBT5S-CLOTHRACK"/>
        <s v="TK-RESINKIT-21-1500"/>
        <s v="BJWZ0027-VBTRMP3-FBA"/>
        <s v="BJWZ0012-PCLGSTL-P4"/>
        <s v="BJWZ0016-PVTR110"/>
        <s v="BJTZ0001-POWH07P"/>
        <s v="BJWZ0028-VBTRLP3-FBA"/>
        <s v="BJDZ0003-PETR025"/>
        <s v="BJWZ0033-VBTRJP6-FBA"/>
        <s v="BJWZ0004-POLG13G-FBA"/>
        <s v="TK-TAPE-MASKING-20M-24MM-PACK1"/>
        <s v="BJWZ0012-PCLGSTL-P2"/>
        <s v="TK-RESINKIT-31-400"/>
        <s v="BJWZ0010-OXGYSTL-P1"/>
        <s v="BJWZ0008-PVTRSTL-P2"/>
        <s v="TK-TAPE-ALUMINIUM-5M-2INCH"/>
        <s v="TK-TAPE-BOPP-BROWN-65M-2INCH-P2"/>
        <s v="TK-TAPE-BOPP-TRANS-65M-2INCH-P2"/>
        <s v="TK-TAPE-ANTISKID-5M-50MM-TRANS-FBA"/>
        <s v="TK-TAPE-ANTISKID-5M-50MM-YL-BLACK-FBA"/>
        <s v="PRBCBW001-250-P1-FBA"/>
        <s v="TK-TAPE-ALUMINIUM-3M-2INCH"/>
        <s v="TK-TAPE-KRAFTPAPER-50M-2INCH"/>
        <s v="TK-TAPE-ELECTRICAL-6M-17MM-PACK6"/>
        <s v="TK-TAPE-MASKING-20M-12MM-PACK1"/>
        <s v="BJDZ0004-PETRE8G"/>
        <s v="TK-RESINKIT-21-300-FBA"/>
        <s v="BJWZ0008-PVTRSTL-P6"/>
        <s v="BJFZ0015-PPWT5S-CLOTHRACK"/>
        <s v="TK-TAPE-FLOORMARKING-ZEBRA-15M-2INCH"/>
        <s v="BJFZ0010-PPBT12S-CLOTHRACK"/>
        <s v="BJFZ0014"/>
        <s v="BJFZ0009"/>
        <s v="TK-TAPE-VASTU-WHITE-4INCH-15MTR"/>
        <s v="BJMZ0006-PPBT02S"/>
        <s v="BJWZ0008-PVTRSTL-P1"/>
        <s v="TK-TAPE-DUCT-25M-48MM"/>
        <s v="TK-RESIN-21-150-TWINCOASTER-FBA"/>
        <s v="TK-RESINKIT-21-150"/>
        <s v="TK-TAPE-VASTU-GREEN-4INCH-15MTR"/>
        <s v="BJWZ0019-POLG110-FBA"/>
        <s v="TK-TAPE-ANTISKID-5M-50MM-BLACK-FBA"/>
        <s v="TK-TAPE-BOPP-TRANS-65M-3INCH-P1"/>
        <s v="BJMZ00011-PPWT08S"/>
        <s v="BJWZ0012-PCLGSTL-P6"/>
        <s v="TK-RESINKIT-21-750"/>
        <s v="BJWZ0010-OXGYSTL-P2-FBA"/>
        <s v="BJWZ0034-VBTRC12-FBA"/>
        <s v="TK-TAPE-ACRYLIC-5M-12MM-2MM"/>
        <s v="TK-RESIN-21-150-ALPHABETCHARM-FBA"/>
        <s v="BJDZ0001-PETR007"/>
        <s v="BJWZ0021-PCLG66L"/>
        <s v="TK-TAPE-VASTU-BLUE-4INCH-15MTR"/>
        <s v="BJFZ0009-PPWT12S-CLOTHRACK"/>
        <s v="BJMZ0009-MMBKH05S"/>
        <s v="BJMZ0010-MMWHH05S"/>
        <s v="TK-RESIN-21-150-JEWELKEYCHAIN-FBA"/>
        <s v="TK-TAPE-TISSUE-50M-1INCH-PACK2"/>
        <s v="BJFZ0014-PPWW5S-CLOTHRACK"/>
        <s v="BJFZ0008-PPWW12S-CLOTHRACK"/>
        <s v="BJFZ0011-PPWW8S-CLOTHRACK"/>
        <s v="TK-TAPE-ANTISKID-5M-50MM-GLOW-FBA"/>
        <s v="BJMZ0001-PFBKD06S"/>
        <s v="BJWZ0035-VBTRC20-FBA"/>
        <s v="BJWZ0031-POBG8B"/>
        <s v="BJMZ0003-MMWHF06S-BC"/>
        <s v="EB-FUNKY-1L V1"/>
        <s v="BJMZ0003-MMWHF06S-PS"/>
        <s v="TK-RESINKIT-31-1200-FBA"/>
        <s v="BJMZ0002-MMBKF06S-BC"/>
        <s v="BJWZ0030-POBG6B"/>
        <s v="BJWZ0022-PCLG110-FBA"/>
        <s v="BJWZ0012-PCLGSTL-P1"/>
        <s v="TK-SW-4INCH-P1-FBA"/>
        <s v="EB-Steel Bottle-Modern Art-1L-P1 V1 FBA"/>
        <s v="EB-SS-SG-750ml-P1-FBA"/>
        <s v="EB-SS-MA-750ml-P1-FBA"/>
        <s v="PRBCBW001-250-P1"/>
        <s v="BJPZ0001-MMBKLP-FBA"/>
        <s v="EB-Seamless-Marble Design V1"/>
        <s v="EB-Steel Bottle-Smooth Grey-1L-P2 V1 FBA"/>
        <s v="EB-Steel Bottle-Smooth Grey-750ml-P1 V1"/>
        <s v="EB-Steel Bottle-Smooth Black-1L-P1 V1"/>
        <s v="EB-Steel Bottle-Smooth Black-1L-P1 V1FBA"/>
        <s v="EB-Steel Bottle-Modern Art-1L-P1 V1"/>
        <s v="BOXJOY-2WT-1D"/>
        <s v="EB-SS-BM-750ml-P1-FBA"/>
        <s v="BJMZ0007-MMBKV04S-CR"/>
        <s v="BJMZ0008-MMWHV04S-CR"/>
        <s v="EB-Tower-Marble Design-FBA"/>
        <s v="EB-Tower-Smooth Grey V1-FBA"/>
        <s v="EB-Seamless-Smooth Grey V1 FBA"/>
        <s v="EB-Seamless-Funky Flower V1 FBA"/>
        <s v="EB-SteelBottle-SmoothBlack-750ml-P1V1FBA"/>
        <s v="BOXJOY-2BT-1D"/>
        <s v="PRFCSS001-50-P1"/>
        <s v="EB-Steel-Funky Flower-750ml-P1 V1-FBA"/>
        <s v="BJWZ0032-VBTRLP6-FBA"/>
        <s v="BOXJOY-2BT-1D-CLOTHRACK"/>
        <s v="PRBCUR001-40-P1"/>
        <s v="EB-Seamless-Classic V1 FBA"/>
        <s v="TK-RESIN-21-150-ULTIMATE-FBA"/>
        <s v="PTISFCWH115557861"/>
        <s v="PTISBWSG115557266"/>
        <s v="BXOYSHRC111339958"/>
        <s v="PTISDYCR115557863"/>
        <s v="BXOYSHRC111339960"/>
        <s v="PTISRLON115557864"/>
        <s v="PTISLPBL115557860"/>
        <s v="BXOYSHRC111339964"/>
        <s v="PTISFCSS115557862"/>
        <s v="BXOYSHRC111339966"/>
        <s v="BXOYSHRC111339962"/>
        <s v="BXOYRGNR111373162"/>
        <s v="BXOYSHRC111339971"/>
        <s v="BXOYSHRC111339955"/>
      </sharedItems>
    </cacheField>
    <cacheField name="Units " numFmtId="0">
      <sharedItems containsSemiMixedTypes="0" containsString="0" containsNumber="1" containsInteger="1" minValue="-4" maxValue="101"/>
    </cacheField>
    <cacheField name="Revenue" numFmtId="164">
      <sharedItems containsSemiMixedTypes="0" containsString="0" containsNumber="1" minValue="-1397.46" maxValue="141143.46"/>
    </cacheField>
    <cacheField name="Source" numFmtId="49">
      <sharedItems count="3">
        <s v="Amazon 1P"/>
        <s v="Amazon 3P"/>
        <s v="Myntra"/>
      </sharedItems>
    </cacheField>
  </cacheFields>
  <extLst>
    <ext xmlns:x14="http://schemas.microsoft.com/office/spreadsheetml/2009/9/main" uri="{725AE2AE-9491-48be-B2B4-4EB974FC3084}">
      <x14:pivotCacheDefinition pivotCacheId="1722273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7">
  <r>
    <x v="0"/>
    <x v="0"/>
    <x v="0"/>
    <x v="0"/>
    <x v="0"/>
    <n v="101"/>
    <n v="141143.46"/>
    <x v="0"/>
  </r>
  <r>
    <x v="0"/>
    <x v="1"/>
    <x v="0"/>
    <x v="0"/>
    <x v="1"/>
    <n v="14"/>
    <n v="22245.72"/>
    <x v="0"/>
  </r>
  <r>
    <x v="0"/>
    <x v="2"/>
    <x v="0"/>
    <x v="0"/>
    <x v="2"/>
    <n v="15"/>
    <n v="20949.16"/>
    <x v="0"/>
  </r>
  <r>
    <x v="0"/>
    <x v="3"/>
    <x v="1"/>
    <x v="1"/>
    <x v="3"/>
    <n v="4"/>
    <n v="19979.66"/>
    <x v="0"/>
  </r>
  <r>
    <x v="0"/>
    <x v="4"/>
    <x v="2"/>
    <x v="2"/>
    <x v="4"/>
    <n v="22"/>
    <n v="16537.27"/>
    <x v="0"/>
  </r>
  <r>
    <x v="0"/>
    <x v="5"/>
    <x v="0"/>
    <x v="0"/>
    <x v="5"/>
    <n v="6"/>
    <n v="12579.71"/>
    <x v="0"/>
  </r>
  <r>
    <x v="0"/>
    <x v="6"/>
    <x v="3"/>
    <x v="0"/>
    <x v="6"/>
    <n v="23"/>
    <n v="10681.36"/>
    <x v="0"/>
  </r>
  <r>
    <x v="0"/>
    <x v="7"/>
    <x v="4"/>
    <x v="3"/>
    <x v="7"/>
    <n v="47"/>
    <n v="7926.08"/>
    <x v="0"/>
  </r>
  <r>
    <x v="0"/>
    <x v="8"/>
    <x v="5"/>
    <x v="3"/>
    <x v="8"/>
    <n v="34"/>
    <n v="5733.76"/>
    <x v="0"/>
  </r>
  <r>
    <x v="0"/>
    <x v="9"/>
    <x v="4"/>
    <x v="3"/>
    <x v="9"/>
    <n v="28"/>
    <n v="4721.92"/>
    <x v="0"/>
  </r>
  <r>
    <x v="0"/>
    <x v="10"/>
    <x v="3"/>
    <x v="0"/>
    <x v="10"/>
    <n v="6"/>
    <n v="4611.84"/>
    <x v="0"/>
  </r>
  <r>
    <x v="0"/>
    <x v="11"/>
    <x v="4"/>
    <x v="3"/>
    <x v="11"/>
    <n v="26"/>
    <n v="3943.99"/>
    <x v="0"/>
  </r>
  <r>
    <x v="0"/>
    <x v="12"/>
    <x v="4"/>
    <x v="3"/>
    <x v="12"/>
    <n v="23"/>
    <n v="3878.72"/>
    <x v="0"/>
  </r>
  <r>
    <x v="0"/>
    <x v="13"/>
    <x v="3"/>
    <x v="0"/>
    <x v="13"/>
    <n v="3"/>
    <n v="3554.24"/>
    <x v="0"/>
  </r>
  <r>
    <x v="0"/>
    <x v="14"/>
    <x v="3"/>
    <x v="0"/>
    <x v="14"/>
    <n v="4"/>
    <n v="3386.44"/>
    <x v="0"/>
  </r>
  <r>
    <x v="0"/>
    <x v="15"/>
    <x v="0"/>
    <x v="0"/>
    <x v="15"/>
    <n v="2"/>
    <n v="3177.96"/>
    <x v="0"/>
  </r>
  <r>
    <x v="0"/>
    <x v="16"/>
    <x v="6"/>
    <x v="0"/>
    <x v="16"/>
    <n v="4"/>
    <n v="2708.48"/>
    <x v="0"/>
  </r>
  <r>
    <x v="0"/>
    <x v="17"/>
    <x v="7"/>
    <x v="2"/>
    <x v="17"/>
    <n v="17"/>
    <n v="2377.17"/>
    <x v="0"/>
  </r>
  <r>
    <x v="0"/>
    <x v="18"/>
    <x v="3"/>
    <x v="0"/>
    <x v="18"/>
    <n v="7"/>
    <n v="2349.16"/>
    <x v="0"/>
  </r>
  <r>
    <x v="0"/>
    <x v="19"/>
    <x v="0"/>
    <x v="0"/>
    <x v="19"/>
    <n v="1"/>
    <n v="2095.7600000000002"/>
    <x v="0"/>
  </r>
  <r>
    <x v="0"/>
    <x v="20"/>
    <x v="3"/>
    <x v="0"/>
    <x v="20"/>
    <n v="3"/>
    <n v="1922.04"/>
    <x v="0"/>
  </r>
  <r>
    <x v="0"/>
    <x v="21"/>
    <x v="3"/>
    <x v="0"/>
    <x v="21"/>
    <n v="3"/>
    <n v="1904.25"/>
    <x v="0"/>
  </r>
  <r>
    <x v="0"/>
    <x v="22"/>
    <x v="3"/>
    <x v="0"/>
    <x v="22"/>
    <n v="2"/>
    <n v="1862.72"/>
    <x v="0"/>
  </r>
  <r>
    <x v="0"/>
    <x v="23"/>
    <x v="3"/>
    <x v="0"/>
    <x v="23"/>
    <n v="4"/>
    <n v="1844.08"/>
    <x v="0"/>
  </r>
  <r>
    <x v="0"/>
    <x v="24"/>
    <x v="3"/>
    <x v="0"/>
    <x v="24"/>
    <n v="2"/>
    <n v="1693.22"/>
    <x v="0"/>
  </r>
  <r>
    <x v="0"/>
    <x v="25"/>
    <x v="0"/>
    <x v="0"/>
    <x v="25"/>
    <n v="1"/>
    <n v="1588.98"/>
    <x v="0"/>
  </r>
  <r>
    <x v="0"/>
    <x v="26"/>
    <x v="0"/>
    <x v="0"/>
    <x v="26"/>
    <n v="1"/>
    <n v="1588.14"/>
    <x v="0"/>
  </r>
  <r>
    <x v="0"/>
    <x v="27"/>
    <x v="0"/>
    <x v="0"/>
    <x v="27"/>
    <n v="1"/>
    <n v="1397.46"/>
    <x v="0"/>
  </r>
  <r>
    <x v="0"/>
    <x v="28"/>
    <x v="2"/>
    <x v="2"/>
    <x v="28"/>
    <n v="1"/>
    <n v="1268.6400000000001"/>
    <x v="0"/>
  </r>
  <r>
    <x v="0"/>
    <x v="29"/>
    <x v="3"/>
    <x v="0"/>
    <x v="29"/>
    <n v="4"/>
    <n v="1169.48"/>
    <x v="0"/>
  </r>
  <r>
    <x v="0"/>
    <x v="30"/>
    <x v="3"/>
    <x v="0"/>
    <x v="30"/>
    <n v="1"/>
    <n v="1134.75"/>
    <x v="0"/>
  </r>
  <r>
    <x v="0"/>
    <x v="31"/>
    <x v="3"/>
    <x v="0"/>
    <x v="31"/>
    <n v="1"/>
    <n v="1100.8399999999999"/>
    <x v="0"/>
  </r>
  <r>
    <x v="0"/>
    <x v="32"/>
    <x v="8"/>
    <x v="0"/>
    <x v="32"/>
    <n v="1"/>
    <n v="1016.1"/>
    <x v="0"/>
  </r>
  <r>
    <x v="0"/>
    <x v="33"/>
    <x v="3"/>
    <x v="0"/>
    <x v="33"/>
    <n v="3"/>
    <n v="1006.77"/>
    <x v="0"/>
  </r>
  <r>
    <x v="0"/>
    <x v="34"/>
    <x v="6"/>
    <x v="0"/>
    <x v="34"/>
    <n v="1"/>
    <n v="931.36"/>
    <x v="0"/>
  </r>
  <r>
    <x v="0"/>
    <x v="35"/>
    <x v="3"/>
    <x v="0"/>
    <x v="35"/>
    <n v="1"/>
    <n v="761.86"/>
    <x v="0"/>
  </r>
  <r>
    <x v="0"/>
    <x v="36"/>
    <x v="3"/>
    <x v="0"/>
    <x v="36"/>
    <n v="3"/>
    <n v="752.54"/>
    <x v="0"/>
  </r>
  <r>
    <x v="0"/>
    <x v="37"/>
    <x v="7"/>
    <x v="2"/>
    <x v="37"/>
    <n v="6"/>
    <n v="699.13"/>
    <x v="0"/>
  </r>
  <r>
    <x v="0"/>
    <x v="38"/>
    <x v="3"/>
    <x v="0"/>
    <x v="38"/>
    <n v="1"/>
    <n v="631.36"/>
    <x v="0"/>
  </r>
  <r>
    <x v="0"/>
    <x v="39"/>
    <x v="1"/>
    <x v="1"/>
    <x v="3"/>
    <n v="1"/>
    <n v="629.66"/>
    <x v="0"/>
  </r>
  <r>
    <x v="0"/>
    <x v="40"/>
    <x v="2"/>
    <x v="2"/>
    <x v="39"/>
    <n v="1"/>
    <n v="505.08"/>
    <x v="0"/>
  </r>
  <r>
    <x v="0"/>
    <x v="41"/>
    <x v="3"/>
    <x v="0"/>
    <x v="40"/>
    <n v="2"/>
    <n v="505.08"/>
    <x v="0"/>
  </r>
  <r>
    <x v="0"/>
    <x v="42"/>
    <x v="3"/>
    <x v="0"/>
    <x v="41"/>
    <n v="1"/>
    <n v="463.56"/>
    <x v="0"/>
  </r>
  <r>
    <x v="0"/>
    <x v="43"/>
    <x v="7"/>
    <x v="2"/>
    <x v="42"/>
    <n v="2"/>
    <n v="445.76"/>
    <x v="0"/>
  </r>
  <r>
    <x v="0"/>
    <x v="44"/>
    <x v="7"/>
    <x v="2"/>
    <x v="43"/>
    <n v="2"/>
    <n v="381.36"/>
    <x v="0"/>
  </r>
  <r>
    <x v="0"/>
    <x v="45"/>
    <x v="7"/>
    <x v="2"/>
    <x v="44"/>
    <n v="2"/>
    <n v="381.36"/>
    <x v="0"/>
  </r>
  <r>
    <x v="0"/>
    <x v="46"/>
    <x v="7"/>
    <x v="2"/>
    <x v="45"/>
    <n v="1"/>
    <n v="355.93"/>
    <x v="0"/>
  </r>
  <r>
    <x v="0"/>
    <x v="47"/>
    <x v="1"/>
    <x v="1"/>
    <x v="3"/>
    <n v="1"/>
    <n v="327.96"/>
    <x v="0"/>
  </r>
  <r>
    <x v="0"/>
    <x v="48"/>
    <x v="7"/>
    <x v="2"/>
    <x v="46"/>
    <n v="1"/>
    <n v="299.14999999999998"/>
    <x v="0"/>
  </r>
  <r>
    <x v="0"/>
    <x v="49"/>
    <x v="5"/>
    <x v="3"/>
    <x v="47"/>
    <n v="1"/>
    <n v="211.02"/>
    <x v="0"/>
  </r>
  <r>
    <x v="0"/>
    <x v="50"/>
    <x v="7"/>
    <x v="2"/>
    <x v="48"/>
    <n v="2"/>
    <n v="205.08"/>
    <x v="0"/>
  </r>
  <r>
    <x v="0"/>
    <x v="51"/>
    <x v="7"/>
    <x v="2"/>
    <x v="49"/>
    <n v="1"/>
    <n v="190.68"/>
    <x v="0"/>
  </r>
  <r>
    <x v="0"/>
    <x v="52"/>
    <x v="7"/>
    <x v="2"/>
    <x v="50"/>
    <n v="1"/>
    <n v="153.38999999999999"/>
    <x v="0"/>
  </r>
  <r>
    <x v="0"/>
    <x v="53"/>
    <x v="7"/>
    <x v="2"/>
    <x v="51"/>
    <n v="2"/>
    <n v="93.22"/>
    <x v="0"/>
  </r>
  <r>
    <x v="0"/>
    <x v="54"/>
    <x v="6"/>
    <x v="0"/>
    <x v="52"/>
    <n v="0"/>
    <n v="0.01"/>
    <x v="0"/>
  </r>
  <r>
    <x v="0"/>
    <x v="55"/>
    <x v="2"/>
    <x v="2"/>
    <x v="53"/>
    <n v="0"/>
    <n v="0"/>
    <x v="0"/>
  </r>
  <r>
    <x v="0"/>
    <x v="56"/>
    <x v="3"/>
    <x v="0"/>
    <x v="54"/>
    <n v="0"/>
    <n v="0"/>
    <x v="0"/>
  </r>
  <r>
    <x v="0"/>
    <x v="57"/>
    <x v="0"/>
    <x v="0"/>
    <x v="55"/>
    <n v="0"/>
    <n v="0"/>
    <x v="0"/>
  </r>
  <r>
    <x v="0"/>
    <x v="58"/>
    <x v="7"/>
    <x v="2"/>
    <x v="56"/>
    <n v="0"/>
    <n v="0"/>
    <x v="0"/>
  </r>
  <r>
    <x v="0"/>
    <x v="59"/>
    <x v="0"/>
    <x v="0"/>
    <x v="57"/>
    <n v="0"/>
    <n v="0"/>
    <x v="0"/>
  </r>
  <r>
    <x v="0"/>
    <x v="60"/>
    <x v="0"/>
    <x v="0"/>
    <x v="58"/>
    <n v="0"/>
    <n v="0"/>
    <x v="0"/>
  </r>
  <r>
    <x v="0"/>
    <x v="61"/>
    <x v="0"/>
    <x v="0"/>
    <x v="59"/>
    <n v="0"/>
    <n v="0"/>
    <x v="0"/>
  </r>
  <r>
    <x v="0"/>
    <x v="62"/>
    <x v="7"/>
    <x v="2"/>
    <x v="60"/>
    <n v="0"/>
    <n v="0"/>
    <x v="0"/>
  </r>
  <r>
    <x v="0"/>
    <x v="63"/>
    <x v="9"/>
    <x v="0"/>
    <x v="61"/>
    <n v="0"/>
    <n v="0"/>
    <x v="0"/>
  </r>
  <r>
    <x v="0"/>
    <x v="64"/>
    <x v="3"/>
    <x v="0"/>
    <x v="62"/>
    <n v="0"/>
    <n v="0"/>
    <x v="0"/>
  </r>
  <r>
    <x v="0"/>
    <x v="65"/>
    <x v="7"/>
    <x v="2"/>
    <x v="63"/>
    <n v="0"/>
    <n v="0"/>
    <x v="0"/>
  </r>
  <r>
    <x v="0"/>
    <x v="66"/>
    <x v="2"/>
    <x v="2"/>
    <x v="64"/>
    <n v="0"/>
    <n v="0"/>
    <x v="0"/>
  </r>
  <r>
    <x v="0"/>
    <x v="67"/>
    <x v="2"/>
    <x v="2"/>
    <x v="65"/>
    <n v="0"/>
    <n v="0"/>
    <x v="0"/>
  </r>
  <r>
    <x v="0"/>
    <x v="68"/>
    <x v="7"/>
    <x v="2"/>
    <x v="66"/>
    <n v="0"/>
    <n v="0"/>
    <x v="0"/>
  </r>
  <r>
    <x v="0"/>
    <x v="69"/>
    <x v="3"/>
    <x v="0"/>
    <x v="67"/>
    <n v="0"/>
    <n v="0"/>
    <x v="0"/>
  </r>
  <r>
    <x v="0"/>
    <x v="70"/>
    <x v="7"/>
    <x v="2"/>
    <x v="68"/>
    <n v="0"/>
    <n v="0"/>
    <x v="0"/>
  </r>
  <r>
    <x v="0"/>
    <x v="71"/>
    <x v="7"/>
    <x v="2"/>
    <x v="69"/>
    <n v="0"/>
    <n v="0"/>
    <x v="0"/>
  </r>
  <r>
    <x v="1"/>
    <x v="0"/>
    <x v="0"/>
    <x v="0"/>
    <x v="0"/>
    <n v="92"/>
    <n v="128566.32"/>
    <x v="0"/>
  </r>
  <r>
    <x v="1"/>
    <x v="5"/>
    <x v="0"/>
    <x v="0"/>
    <x v="5"/>
    <n v="16"/>
    <n v="33538.980000000003"/>
    <x v="0"/>
  </r>
  <r>
    <x v="1"/>
    <x v="3"/>
    <x v="1"/>
    <x v="1"/>
    <x v="3"/>
    <n v="3"/>
    <n v="15536.43"/>
    <x v="0"/>
  </r>
  <r>
    <x v="1"/>
    <x v="4"/>
    <x v="2"/>
    <x v="2"/>
    <x v="4"/>
    <n v="17"/>
    <n v="12778.79"/>
    <x v="0"/>
  </r>
  <r>
    <x v="1"/>
    <x v="1"/>
    <x v="0"/>
    <x v="0"/>
    <x v="1"/>
    <n v="8"/>
    <n v="12711.84"/>
    <x v="0"/>
  </r>
  <r>
    <x v="1"/>
    <x v="19"/>
    <x v="0"/>
    <x v="0"/>
    <x v="19"/>
    <n v="3"/>
    <n v="6287.28"/>
    <x v="0"/>
  </r>
  <r>
    <x v="1"/>
    <x v="2"/>
    <x v="0"/>
    <x v="0"/>
    <x v="2"/>
    <n v="4"/>
    <n v="5584.76"/>
    <x v="0"/>
  </r>
  <r>
    <x v="1"/>
    <x v="20"/>
    <x v="3"/>
    <x v="0"/>
    <x v="20"/>
    <n v="8"/>
    <n v="5125.4399999999996"/>
    <x v="0"/>
  </r>
  <r>
    <x v="1"/>
    <x v="18"/>
    <x v="3"/>
    <x v="0"/>
    <x v="18"/>
    <n v="8"/>
    <n v="2684.74"/>
    <x v="0"/>
  </r>
  <r>
    <x v="1"/>
    <x v="56"/>
    <x v="3"/>
    <x v="0"/>
    <x v="54"/>
    <n v="2"/>
    <n v="2540.6799999999998"/>
    <x v="0"/>
  </r>
  <r>
    <x v="1"/>
    <x v="21"/>
    <x v="3"/>
    <x v="0"/>
    <x v="21"/>
    <n v="4"/>
    <n v="2538.9699999999998"/>
    <x v="0"/>
  </r>
  <r>
    <x v="1"/>
    <x v="28"/>
    <x v="2"/>
    <x v="2"/>
    <x v="28"/>
    <n v="2"/>
    <n v="2537.2800000000002"/>
    <x v="0"/>
  </r>
  <r>
    <x v="1"/>
    <x v="11"/>
    <x v="4"/>
    <x v="3"/>
    <x v="11"/>
    <n v="15"/>
    <n v="2275.38"/>
    <x v="0"/>
  </r>
  <r>
    <x v="1"/>
    <x v="61"/>
    <x v="0"/>
    <x v="0"/>
    <x v="59"/>
    <n v="1"/>
    <n v="2096.61"/>
    <x v="0"/>
  </r>
  <r>
    <x v="1"/>
    <x v="6"/>
    <x v="3"/>
    <x v="0"/>
    <x v="6"/>
    <n v="4"/>
    <n v="1857.61"/>
    <x v="0"/>
  </r>
  <r>
    <x v="1"/>
    <x v="72"/>
    <x v="9"/>
    <x v="0"/>
    <x v="70"/>
    <n v="1"/>
    <n v="1694.07"/>
    <x v="0"/>
  </r>
  <r>
    <x v="1"/>
    <x v="14"/>
    <x v="3"/>
    <x v="0"/>
    <x v="14"/>
    <n v="2"/>
    <n v="1693.23"/>
    <x v="0"/>
  </r>
  <r>
    <x v="1"/>
    <x v="24"/>
    <x v="3"/>
    <x v="0"/>
    <x v="24"/>
    <n v="2"/>
    <n v="1693.22"/>
    <x v="0"/>
  </r>
  <r>
    <x v="1"/>
    <x v="73"/>
    <x v="3"/>
    <x v="0"/>
    <x v="71"/>
    <n v="1"/>
    <n v="1693.22"/>
    <x v="0"/>
  </r>
  <r>
    <x v="1"/>
    <x v="15"/>
    <x v="0"/>
    <x v="0"/>
    <x v="15"/>
    <n v="1"/>
    <n v="1588.98"/>
    <x v="0"/>
  </r>
  <r>
    <x v="1"/>
    <x v="25"/>
    <x v="0"/>
    <x v="0"/>
    <x v="25"/>
    <n v="1"/>
    <n v="1588.98"/>
    <x v="0"/>
  </r>
  <r>
    <x v="1"/>
    <x v="17"/>
    <x v="7"/>
    <x v="2"/>
    <x v="17"/>
    <n v="11"/>
    <n v="1538.2"/>
    <x v="0"/>
  </r>
  <r>
    <x v="1"/>
    <x v="74"/>
    <x v="2"/>
    <x v="2"/>
    <x v="72"/>
    <n v="2"/>
    <n v="1489.84"/>
    <x v="0"/>
  </r>
  <r>
    <x v="1"/>
    <x v="23"/>
    <x v="3"/>
    <x v="0"/>
    <x v="23"/>
    <n v="3"/>
    <n v="1382.21"/>
    <x v="0"/>
  </r>
  <r>
    <x v="1"/>
    <x v="16"/>
    <x v="6"/>
    <x v="0"/>
    <x v="16"/>
    <n v="2"/>
    <n v="1354.24"/>
    <x v="0"/>
  </r>
  <r>
    <x v="1"/>
    <x v="13"/>
    <x v="3"/>
    <x v="0"/>
    <x v="13"/>
    <n v="1"/>
    <n v="1184.75"/>
    <x v="0"/>
  </r>
  <r>
    <x v="1"/>
    <x v="9"/>
    <x v="4"/>
    <x v="3"/>
    <x v="9"/>
    <n v="7"/>
    <n v="1180.48"/>
    <x v="0"/>
  </r>
  <r>
    <x v="1"/>
    <x v="75"/>
    <x v="3"/>
    <x v="0"/>
    <x v="73"/>
    <n v="2"/>
    <n v="955.93"/>
    <x v="0"/>
  </r>
  <r>
    <x v="1"/>
    <x v="76"/>
    <x v="3"/>
    <x v="0"/>
    <x v="74"/>
    <n v="1"/>
    <n v="930.51"/>
    <x v="0"/>
  </r>
  <r>
    <x v="1"/>
    <x v="42"/>
    <x v="3"/>
    <x v="0"/>
    <x v="41"/>
    <n v="2"/>
    <n v="927.12"/>
    <x v="0"/>
  </r>
  <r>
    <x v="1"/>
    <x v="53"/>
    <x v="7"/>
    <x v="2"/>
    <x v="51"/>
    <n v="18"/>
    <n v="839.02"/>
    <x v="0"/>
  </r>
  <r>
    <x v="1"/>
    <x v="12"/>
    <x v="4"/>
    <x v="3"/>
    <x v="12"/>
    <n v="4"/>
    <n v="674.56"/>
    <x v="0"/>
  </r>
  <r>
    <x v="1"/>
    <x v="33"/>
    <x v="3"/>
    <x v="0"/>
    <x v="33"/>
    <n v="2"/>
    <n v="671.19"/>
    <x v="0"/>
  </r>
  <r>
    <x v="1"/>
    <x v="77"/>
    <x v="7"/>
    <x v="2"/>
    <x v="75"/>
    <n v="4"/>
    <n v="654.24"/>
    <x v="0"/>
  </r>
  <r>
    <x v="1"/>
    <x v="70"/>
    <x v="7"/>
    <x v="2"/>
    <x v="68"/>
    <n v="2"/>
    <n v="644.08000000000004"/>
    <x v="0"/>
  </r>
  <r>
    <x v="1"/>
    <x v="29"/>
    <x v="3"/>
    <x v="0"/>
    <x v="29"/>
    <n v="2"/>
    <n v="584.75"/>
    <x v="0"/>
  </r>
  <r>
    <x v="1"/>
    <x v="78"/>
    <x v="2"/>
    <x v="2"/>
    <x v="76"/>
    <n v="1"/>
    <n v="544.07000000000005"/>
    <x v="0"/>
  </r>
  <r>
    <x v="1"/>
    <x v="40"/>
    <x v="2"/>
    <x v="2"/>
    <x v="39"/>
    <n v="1"/>
    <n v="505.08"/>
    <x v="0"/>
  </r>
  <r>
    <x v="1"/>
    <x v="65"/>
    <x v="7"/>
    <x v="2"/>
    <x v="63"/>
    <n v="2"/>
    <n v="425.42"/>
    <x v="0"/>
  </r>
  <r>
    <x v="1"/>
    <x v="46"/>
    <x v="7"/>
    <x v="2"/>
    <x v="45"/>
    <n v="1"/>
    <n v="355.93"/>
    <x v="0"/>
  </r>
  <r>
    <x v="1"/>
    <x v="8"/>
    <x v="5"/>
    <x v="3"/>
    <x v="8"/>
    <n v="2"/>
    <n v="337.28"/>
    <x v="0"/>
  </r>
  <r>
    <x v="1"/>
    <x v="7"/>
    <x v="4"/>
    <x v="3"/>
    <x v="7"/>
    <n v="2"/>
    <n v="337.28"/>
    <x v="0"/>
  </r>
  <r>
    <x v="1"/>
    <x v="47"/>
    <x v="1"/>
    <x v="1"/>
    <x v="3"/>
    <n v="1"/>
    <n v="327.97"/>
    <x v="0"/>
  </r>
  <r>
    <x v="1"/>
    <x v="79"/>
    <x v="6"/>
    <x v="0"/>
    <x v="77"/>
    <n v="1"/>
    <n v="327.42"/>
    <x v="0"/>
  </r>
  <r>
    <x v="1"/>
    <x v="36"/>
    <x v="3"/>
    <x v="0"/>
    <x v="36"/>
    <n v="1"/>
    <n v="250.84"/>
    <x v="0"/>
  </r>
  <r>
    <x v="1"/>
    <x v="37"/>
    <x v="7"/>
    <x v="2"/>
    <x v="37"/>
    <n v="2"/>
    <n v="250.84"/>
    <x v="0"/>
  </r>
  <r>
    <x v="1"/>
    <x v="44"/>
    <x v="7"/>
    <x v="2"/>
    <x v="43"/>
    <n v="1"/>
    <n v="183.9"/>
    <x v="0"/>
  </r>
  <r>
    <x v="1"/>
    <x v="80"/>
    <x v="3"/>
    <x v="0"/>
    <x v="78"/>
    <n v="0"/>
    <n v="0"/>
    <x v="0"/>
  </r>
  <r>
    <x v="1"/>
    <x v="59"/>
    <x v="0"/>
    <x v="0"/>
    <x v="57"/>
    <n v="0"/>
    <n v="0"/>
    <x v="0"/>
  </r>
  <r>
    <x v="1"/>
    <x v="68"/>
    <x v="7"/>
    <x v="2"/>
    <x v="66"/>
    <n v="0"/>
    <n v="0"/>
    <x v="0"/>
  </r>
  <r>
    <x v="1"/>
    <x v="22"/>
    <x v="3"/>
    <x v="0"/>
    <x v="22"/>
    <n v="0"/>
    <n v="0"/>
    <x v="0"/>
  </r>
  <r>
    <x v="1"/>
    <x v="62"/>
    <x v="7"/>
    <x v="2"/>
    <x v="60"/>
    <n v="0"/>
    <n v="0"/>
    <x v="0"/>
  </r>
  <r>
    <x v="1"/>
    <x v="50"/>
    <x v="7"/>
    <x v="2"/>
    <x v="48"/>
    <n v="0"/>
    <n v="0"/>
    <x v="0"/>
  </r>
  <r>
    <x v="1"/>
    <x v="60"/>
    <x v="0"/>
    <x v="0"/>
    <x v="58"/>
    <n v="0"/>
    <n v="0"/>
    <x v="0"/>
  </r>
  <r>
    <x v="1"/>
    <x v="64"/>
    <x v="3"/>
    <x v="0"/>
    <x v="62"/>
    <n v="0"/>
    <n v="0"/>
    <x v="0"/>
  </r>
  <r>
    <x v="1"/>
    <x v="43"/>
    <x v="7"/>
    <x v="2"/>
    <x v="42"/>
    <n v="0"/>
    <n v="0"/>
    <x v="0"/>
  </r>
  <r>
    <x v="1"/>
    <x v="45"/>
    <x v="7"/>
    <x v="2"/>
    <x v="44"/>
    <n v="0"/>
    <n v="0"/>
    <x v="0"/>
  </r>
  <r>
    <x v="1"/>
    <x v="35"/>
    <x v="3"/>
    <x v="0"/>
    <x v="35"/>
    <n v="0"/>
    <n v="0"/>
    <x v="0"/>
  </r>
  <r>
    <x v="1"/>
    <x v="52"/>
    <x v="7"/>
    <x v="2"/>
    <x v="50"/>
    <n v="0"/>
    <n v="0"/>
    <x v="0"/>
  </r>
  <r>
    <x v="1"/>
    <x v="10"/>
    <x v="3"/>
    <x v="0"/>
    <x v="10"/>
    <n v="0"/>
    <n v="0"/>
    <x v="0"/>
  </r>
  <r>
    <x v="1"/>
    <x v="49"/>
    <x v="5"/>
    <x v="3"/>
    <x v="47"/>
    <n v="0"/>
    <n v="0"/>
    <x v="0"/>
  </r>
  <r>
    <x v="1"/>
    <x v="32"/>
    <x v="8"/>
    <x v="0"/>
    <x v="32"/>
    <n v="0"/>
    <n v="0"/>
    <x v="0"/>
  </r>
  <r>
    <x v="1"/>
    <x v="48"/>
    <x v="7"/>
    <x v="2"/>
    <x v="46"/>
    <n v="0"/>
    <n v="0"/>
    <x v="0"/>
  </r>
  <r>
    <x v="1"/>
    <x v="81"/>
    <x v="7"/>
    <x v="2"/>
    <x v="79"/>
    <n v="0"/>
    <n v="0"/>
    <x v="0"/>
  </r>
  <r>
    <x v="1"/>
    <x v="41"/>
    <x v="3"/>
    <x v="0"/>
    <x v="40"/>
    <n v="0"/>
    <n v="0"/>
    <x v="0"/>
  </r>
  <r>
    <x v="1"/>
    <x v="34"/>
    <x v="6"/>
    <x v="0"/>
    <x v="34"/>
    <n v="0"/>
    <n v="0"/>
    <x v="0"/>
  </r>
  <r>
    <x v="1"/>
    <x v="38"/>
    <x v="3"/>
    <x v="0"/>
    <x v="38"/>
    <n v="0"/>
    <n v="0"/>
    <x v="0"/>
  </r>
  <r>
    <x v="1"/>
    <x v="67"/>
    <x v="2"/>
    <x v="2"/>
    <x v="65"/>
    <n v="0"/>
    <n v="0"/>
    <x v="0"/>
  </r>
  <r>
    <x v="1"/>
    <x v="54"/>
    <x v="6"/>
    <x v="0"/>
    <x v="52"/>
    <n v="0"/>
    <n v="0"/>
    <x v="0"/>
  </r>
  <r>
    <x v="1"/>
    <x v="27"/>
    <x v="0"/>
    <x v="0"/>
    <x v="27"/>
    <n v="-1"/>
    <n v="-1397.46"/>
    <x v="0"/>
  </r>
  <r>
    <x v="2"/>
    <x v="0"/>
    <x v="0"/>
    <x v="0"/>
    <x v="0"/>
    <n v="71"/>
    <n v="99219.66"/>
    <x v="0"/>
  </r>
  <r>
    <x v="2"/>
    <x v="5"/>
    <x v="0"/>
    <x v="0"/>
    <x v="5"/>
    <n v="6"/>
    <n v="12574.56"/>
    <x v="0"/>
  </r>
  <r>
    <x v="2"/>
    <x v="4"/>
    <x v="2"/>
    <x v="2"/>
    <x v="4"/>
    <n v="13"/>
    <n v="9772.0300000000007"/>
    <x v="0"/>
  </r>
  <r>
    <x v="2"/>
    <x v="1"/>
    <x v="0"/>
    <x v="0"/>
    <x v="1"/>
    <n v="6"/>
    <n v="9533.8799999999992"/>
    <x v="0"/>
  </r>
  <r>
    <x v="2"/>
    <x v="61"/>
    <x v="0"/>
    <x v="0"/>
    <x v="59"/>
    <n v="4"/>
    <n v="8383.0400000000009"/>
    <x v="0"/>
  </r>
  <r>
    <x v="2"/>
    <x v="20"/>
    <x v="3"/>
    <x v="0"/>
    <x v="20"/>
    <n v="8"/>
    <n v="5125.4399999999996"/>
    <x v="0"/>
  </r>
  <r>
    <x v="2"/>
    <x v="56"/>
    <x v="3"/>
    <x v="0"/>
    <x v="54"/>
    <n v="4"/>
    <n v="5081.3599999999997"/>
    <x v="0"/>
  </r>
  <r>
    <x v="2"/>
    <x v="2"/>
    <x v="0"/>
    <x v="0"/>
    <x v="2"/>
    <n v="3"/>
    <n v="4187.28"/>
    <x v="0"/>
  </r>
  <r>
    <x v="2"/>
    <x v="73"/>
    <x v="3"/>
    <x v="0"/>
    <x v="71"/>
    <n v="2"/>
    <n v="3386.44"/>
    <x v="0"/>
  </r>
  <r>
    <x v="2"/>
    <x v="16"/>
    <x v="6"/>
    <x v="0"/>
    <x v="16"/>
    <n v="5"/>
    <n v="3385.6"/>
    <x v="0"/>
  </r>
  <r>
    <x v="2"/>
    <x v="18"/>
    <x v="3"/>
    <x v="0"/>
    <x v="18"/>
    <n v="10"/>
    <n v="3355.91"/>
    <x v="0"/>
  </r>
  <r>
    <x v="2"/>
    <x v="15"/>
    <x v="0"/>
    <x v="0"/>
    <x v="15"/>
    <n v="2"/>
    <n v="3177.96"/>
    <x v="0"/>
  </r>
  <r>
    <x v="2"/>
    <x v="14"/>
    <x v="3"/>
    <x v="0"/>
    <x v="14"/>
    <n v="3"/>
    <n v="2534.7600000000002"/>
    <x v="0"/>
  </r>
  <r>
    <x v="2"/>
    <x v="82"/>
    <x v="0"/>
    <x v="0"/>
    <x v="80"/>
    <n v="1"/>
    <n v="2096.61"/>
    <x v="0"/>
  </r>
  <r>
    <x v="2"/>
    <x v="19"/>
    <x v="0"/>
    <x v="0"/>
    <x v="19"/>
    <n v="1"/>
    <n v="2095.7600000000002"/>
    <x v="0"/>
  </r>
  <r>
    <x v="2"/>
    <x v="23"/>
    <x v="3"/>
    <x v="0"/>
    <x v="23"/>
    <n v="4"/>
    <n v="1840.67"/>
    <x v="0"/>
  </r>
  <r>
    <x v="2"/>
    <x v="25"/>
    <x v="0"/>
    <x v="0"/>
    <x v="25"/>
    <n v="1"/>
    <n v="1588.98"/>
    <x v="0"/>
  </r>
  <r>
    <x v="2"/>
    <x v="17"/>
    <x v="7"/>
    <x v="2"/>
    <x v="17"/>
    <n v="11"/>
    <n v="1538.13"/>
    <x v="0"/>
  </r>
  <r>
    <x v="2"/>
    <x v="80"/>
    <x v="3"/>
    <x v="0"/>
    <x v="78"/>
    <n v="1"/>
    <n v="1439.83"/>
    <x v="0"/>
  </r>
  <r>
    <x v="2"/>
    <x v="27"/>
    <x v="0"/>
    <x v="0"/>
    <x v="27"/>
    <n v="1"/>
    <n v="1397.46"/>
    <x v="0"/>
  </r>
  <r>
    <x v="2"/>
    <x v="70"/>
    <x v="7"/>
    <x v="2"/>
    <x v="68"/>
    <n v="4"/>
    <n v="1279.6600000000001"/>
    <x v="0"/>
  </r>
  <r>
    <x v="2"/>
    <x v="28"/>
    <x v="2"/>
    <x v="2"/>
    <x v="28"/>
    <n v="1"/>
    <n v="1268.6400000000001"/>
    <x v="0"/>
  </r>
  <r>
    <x v="2"/>
    <x v="11"/>
    <x v="4"/>
    <x v="3"/>
    <x v="11"/>
    <n v="8"/>
    <n v="1213.53"/>
    <x v="0"/>
  </r>
  <r>
    <x v="2"/>
    <x v="13"/>
    <x v="3"/>
    <x v="0"/>
    <x v="13"/>
    <n v="1"/>
    <n v="1184.75"/>
    <x v="0"/>
  </r>
  <r>
    <x v="2"/>
    <x v="34"/>
    <x v="6"/>
    <x v="0"/>
    <x v="34"/>
    <n v="1"/>
    <n v="931.36"/>
    <x v="0"/>
  </r>
  <r>
    <x v="2"/>
    <x v="22"/>
    <x v="3"/>
    <x v="0"/>
    <x v="22"/>
    <n v="1"/>
    <n v="931.36"/>
    <x v="0"/>
  </r>
  <r>
    <x v="2"/>
    <x v="6"/>
    <x v="3"/>
    <x v="0"/>
    <x v="6"/>
    <n v="2"/>
    <n v="928.82"/>
    <x v="0"/>
  </r>
  <r>
    <x v="2"/>
    <x v="42"/>
    <x v="3"/>
    <x v="0"/>
    <x v="41"/>
    <n v="2"/>
    <n v="925.43"/>
    <x v="0"/>
  </r>
  <r>
    <x v="2"/>
    <x v="52"/>
    <x v="7"/>
    <x v="2"/>
    <x v="50"/>
    <n v="6"/>
    <n v="875.1"/>
    <x v="0"/>
  </r>
  <r>
    <x v="2"/>
    <x v="83"/>
    <x v="9"/>
    <x v="0"/>
    <x v="81"/>
    <n v="1"/>
    <n v="846.61"/>
    <x v="0"/>
  </r>
  <r>
    <x v="2"/>
    <x v="84"/>
    <x v="9"/>
    <x v="0"/>
    <x v="82"/>
    <n v="1"/>
    <n v="846.61"/>
    <x v="0"/>
  </r>
  <r>
    <x v="2"/>
    <x v="10"/>
    <x v="3"/>
    <x v="0"/>
    <x v="10"/>
    <n v="1"/>
    <n v="768.64"/>
    <x v="0"/>
  </r>
  <r>
    <x v="2"/>
    <x v="65"/>
    <x v="7"/>
    <x v="2"/>
    <x v="63"/>
    <n v="3"/>
    <n v="638.14"/>
    <x v="0"/>
  </r>
  <r>
    <x v="2"/>
    <x v="21"/>
    <x v="3"/>
    <x v="0"/>
    <x v="21"/>
    <n v="1"/>
    <n v="634.75"/>
    <x v="0"/>
  </r>
  <r>
    <x v="2"/>
    <x v="39"/>
    <x v="1"/>
    <x v="1"/>
    <x v="3"/>
    <n v="1"/>
    <n v="633.9"/>
    <x v="0"/>
  </r>
  <r>
    <x v="2"/>
    <x v="67"/>
    <x v="2"/>
    <x v="2"/>
    <x v="65"/>
    <n v="2"/>
    <n v="619.49"/>
    <x v="0"/>
  </r>
  <r>
    <x v="2"/>
    <x v="85"/>
    <x v="2"/>
    <x v="2"/>
    <x v="83"/>
    <n v="1"/>
    <n v="592.37"/>
    <x v="0"/>
  </r>
  <r>
    <x v="2"/>
    <x v="78"/>
    <x v="2"/>
    <x v="2"/>
    <x v="76"/>
    <n v="1"/>
    <n v="544.07000000000005"/>
    <x v="0"/>
  </r>
  <r>
    <x v="2"/>
    <x v="7"/>
    <x v="4"/>
    <x v="3"/>
    <x v="7"/>
    <n v="3"/>
    <n v="505.92"/>
    <x v="0"/>
  </r>
  <r>
    <x v="2"/>
    <x v="40"/>
    <x v="2"/>
    <x v="2"/>
    <x v="39"/>
    <n v="1"/>
    <n v="505.08"/>
    <x v="0"/>
  </r>
  <r>
    <x v="2"/>
    <x v="46"/>
    <x v="7"/>
    <x v="2"/>
    <x v="45"/>
    <n v="1"/>
    <n v="355.93"/>
    <x v="0"/>
  </r>
  <r>
    <x v="2"/>
    <x v="9"/>
    <x v="4"/>
    <x v="3"/>
    <x v="9"/>
    <n v="2"/>
    <n v="337.28"/>
    <x v="0"/>
  </r>
  <r>
    <x v="2"/>
    <x v="47"/>
    <x v="1"/>
    <x v="1"/>
    <x v="3"/>
    <n v="1"/>
    <n v="327.96"/>
    <x v="0"/>
  </r>
  <r>
    <x v="2"/>
    <x v="64"/>
    <x v="3"/>
    <x v="0"/>
    <x v="62"/>
    <n v="1"/>
    <n v="252.54"/>
    <x v="0"/>
  </r>
  <r>
    <x v="2"/>
    <x v="43"/>
    <x v="7"/>
    <x v="2"/>
    <x v="42"/>
    <n v="1"/>
    <n v="222.88"/>
    <x v="0"/>
  </r>
  <r>
    <x v="2"/>
    <x v="37"/>
    <x v="7"/>
    <x v="2"/>
    <x v="37"/>
    <n v="3"/>
    <n v="216.1"/>
    <x v="0"/>
  </r>
  <r>
    <x v="2"/>
    <x v="50"/>
    <x v="7"/>
    <x v="2"/>
    <x v="48"/>
    <n v="2"/>
    <n v="183.06"/>
    <x v="0"/>
  </r>
  <r>
    <x v="2"/>
    <x v="71"/>
    <x v="7"/>
    <x v="2"/>
    <x v="69"/>
    <n v="1"/>
    <n v="139.83000000000001"/>
    <x v="0"/>
  </r>
  <r>
    <x v="2"/>
    <x v="35"/>
    <x v="3"/>
    <x v="0"/>
    <x v="35"/>
    <n v="0"/>
    <n v="0"/>
    <x v="0"/>
  </r>
  <r>
    <x v="2"/>
    <x v="51"/>
    <x v="7"/>
    <x v="2"/>
    <x v="49"/>
    <n v="0"/>
    <n v="0"/>
    <x v="0"/>
  </r>
  <r>
    <x v="2"/>
    <x v="86"/>
    <x v="7"/>
    <x v="2"/>
    <x v="84"/>
    <n v="0"/>
    <n v="0"/>
    <x v="0"/>
  </r>
  <r>
    <x v="2"/>
    <x v="8"/>
    <x v="5"/>
    <x v="3"/>
    <x v="8"/>
    <n v="0"/>
    <n v="0"/>
    <x v="0"/>
  </r>
  <r>
    <x v="2"/>
    <x v="62"/>
    <x v="7"/>
    <x v="2"/>
    <x v="60"/>
    <n v="0"/>
    <n v="0"/>
    <x v="0"/>
  </r>
  <r>
    <x v="2"/>
    <x v="38"/>
    <x v="3"/>
    <x v="0"/>
    <x v="38"/>
    <n v="0"/>
    <n v="0"/>
    <x v="0"/>
  </r>
  <r>
    <x v="2"/>
    <x v="49"/>
    <x v="5"/>
    <x v="3"/>
    <x v="47"/>
    <n v="0"/>
    <n v="0"/>
    <x v="0"/>
  </r>
  <r>
    <x v="2"/>
    <x v="33"/>
    <x v="3"/>
    <x v="0"/>
    <x v="33"/>
    <n v="0"/>
    <n v="0"/>
    <x v="0"/>
  </r>
  <r>
    <x v="2"/>
    <x v="58"/>
    <x v="7"/>
    <x v="2"/>
    <x v="56"/>
    <n v="0"/>
    <n v="0"/>
    <x v="0"/>
  </r>
  <r>
    <x v="2"/>
    <x v="29"/>
    <x v="3"/>
    <x v="0"/>
    <x v="29"/>
    <n v="0"/>
    <n v="0"/>
    <x v="0"/>
  </r>
  <r>
    <x v="2"/>
    <x v="59"/>
    <x v="0"/>
    <x v="0"/>
    <x v="57"/>
    <n v="0"/>
    <n v="0"/>
    <x v="0"/>
  </r>
  <r>
    <x v="2"/>
    <x v="31"/>
    <x v="3"/>
    <x v="0"/>
    <x v="31"/>
    <n v="0"/>
    <n v="0"/>
    <x v="0"/>
  </r>
  <r>
    <x v="2"/>
    <x v="87"/>
    <x v="0"/>
    <x v="0"/>
    <x v="85"/>
    <n v="0"/>
    <n v="0"/>
    <x v="0"/>
  </r>
  <r>
    <x v="2"/>
    <x v="44"/>
    <x v="7"/>
    <x v="2"/>
    <x v="43"/>
    <n v="0"/>
    <n v="0"/>
    <x v="0"/>
  </r>
  <r>
    <x v="2"/>
    <x v="81"/>
    <x v="7"/>
    <x v="2"/>
    <x v="79"/>
    <n v="0"/>
    <n v="0"/>
    <x v="0"/>
  </r>
  <r>
    <x v="2"/>
    <x v="72"/>
    <x v="9"/>
    <x v="0"/>
    <x v="70"/>
    <n v="0"/>
    <n v="0"/>
    <x v="0"/>
  </r>
  <r>
    <x v="2"/>
    <x v="77"/>
    <x v="7"/>
    <x v="2"/>
    <x v="75"/>
    <n v="0"/>
    <n v="0"/>
    <x v="0"/>
  </r>
  <r>
    <x v="2"/>
    <x v="36"/>
    <x v="3"/>
    <x v="0"/>
    <x v="36"/>
    <n v="0"/>
    <n v="0"/>
    <x v="0"/>
  </r>
  <r>
    <x v="2"/>
    <x v="79"/>
    <x v="6"/>
    <x v="0"/>
    <x v="77"/>
    <n v="0"/>
    <n v="0"/>
    <x v="0"/>
  </r>
  <r>
    <x v="2"/>
    <x v="76"/>
    <x v="3"/>
    <x v="0"/>
    <x v="74"/>
    <n v="0"/>
    <n v="0"/>
    <x v="0"/>
  </r>
  <r>
    <x v="2"/>
    <x v="54"/>
    <x v="6"/>
    <x v="0"/>
    <x v="52"/>
    <n v="0"/>
    <n v="0"/>
    <x v="0"/>
  </r>
  <r>
    <x v="2"/>
    <x v="24"/>
    <x v="3"/>
    <x v="0"/>
    <x v="24"/>
    <n v="0"/>
    <n v="0"/>
    <x v="0"/>
  </r>
  <r>
    <x v="2"/>
    <x v="41"/>
    <x v="3"/>
    <x v="0"/>
    <x v="40"/>
    <n v="0"/>
    <n v="0"/>
    <x v="0"/>
  </r>
  <r>
    <x v="2"/>
    <x v="60"/>
    <x v="0"/>
    <x v="0"/>
    <x v="58"/>
    <n v="0"/>
    <n v="0"/>
    <x v="0"/>
  </r>
  <r>
    <x v="2"/>
    <x v="48"/>
    <x v="7"/>
    <x v="2"/>
    <x v="46"/>
    <n v="0"/>
    <n v="0"/>
    <x v="0"/>
  </r>
  <r>
    <x v="2"/>
    <x v="88"/>
    <x v="0"/>
    <x v="0"/>
    <x v="86"/>
    <n v="0"/>
    <n v="0"/>
    <x v="0"/>
  </r>
  <r>
    <x v="2"/>
    <x v="89"/>
    <x v="0"/>
    <x v="0"/>
    <x v="87"/>
    <n v="0"/>
    <n v="0"/>
    <x v="0"/>
  </r>
  <r>
    <x v="2"/>
    <x v="90"/>
    <x v="7"/>
    <x v="2"/>
    <x v="88"/>
    <n v="0"/>
    <n v="0"/>
    <x v="0"/>
  </r>
  <r>
    <x v="2"/>
    <x v="45"/>
    <x v="7"/>
    <x v="2"/>
    <x v="44"/>
    <n v="0"/>
    <n v="0"/>
    <x v="0"/>
  </r>
  <r>
    <x v="2"/>
    <x v="75"/>
    <x v="3"/>
    <x v="0"/>
    <x v="73"/>
    <n v="0"/>
    <n v="0"/>
    <x v="0"/>
  </r>
  <r>
    <x v="2"/>
    <x v="69"/>
    <x v="3"/>
    <x v="0"/>
    <x v="67"/>
    <n v="0"/>
    <n v="0"/>
    <x v="0"/>
  </r>
  <r>
    <x v="2"/>
    <x v="66"/>
    <x v="2"/>
    <x v="2"/>
    <x v="64"/>
    <n v="0"/>
    <n v="0"/>
    <x v="0"/>
  </r>
  <r>
    <x v="2"/>
    <x v="74"/>
    <x v="2"/>
    <x v="2"/>
    <x v="72"/>
    <n v="0"/>
    <n v="0"/>
    <x v="0"/>
  </r>
  <r>
    <x v="2"/>
    <x v="68"/>
    <x v="7"/>
    <x v="2"/>
    <x v="66"/>
    <n v="0"/>
    <n v="0"/>
    <x v="0"/>
  </r>
  <r>
    <x v="2"/>
    <x v="3"/>
    <x v="1"/>
    <x v="1"/>
    <x v="3"/>
    <n v="0"/>
    <n v="-170.34"/>
    <x v="0"/>
  </r>
  <r>
    <x v="2"/>
    <x v="53"/>
    <x v="7"/>
    <x v="2"/>
    <x v="51"/>
    <n v="-4"/>
    <n v="-186.48"/>
    <x v="0"/>
  </r>
  <r>
    <x v="2"/>
    <x v="12"/>
    <x v="4"/>
    <x v="3"/>
    <x v="12"/>
    <n v="-2"/>
    <n v="-337.28"/>
    <x v="0"/>
  </r>
  <r>
    <x v="3"/>
    <x v="0"/>
    <x v="0"/>
    <x v="0"/>
    <x v="0"/>
    <n v="85"/>
    <n v="118784.1"/>
    <x v="0"/>
  </r>
  <r>
    <x v="3"/>
    <x v="1"/>
    <x v="0"/>
    <x v="0"/>
    <x v="1"/>
    <n v="8"/>
    <n v="12711.84"/>
    <x v="0"/>
  </r>
  <r>
    <x v="3"/>
    <x v="4"/>
    <x v="2"/>
    <x v="2"/>
    <x v="4"/>
    <n v="15"/>
    <n v="11275.39"/>
    <x v="0"/>
  </r>
  <r>
    <x v="3"/>
    <x v="5"/>
    <x v="0"/>
    <x v="0"/>
    <x v="5"/>
    <n v="5"/>
    <n v="10478.799999999999"/>
    <x v="0"/>
  </r>
  <r>
    <x v="3"/>
    <x v="10"/>
    <x v="3"/>
    <x v="0"/>
    <x v="10"/>
    <n v="8"/>
    <n v="6149.12"/>
    <x v="0"/>
  </r>
  <r>
    <x v="3"/>
    <x v="60"/>
    <x v="0"/>
    <x v="0"/>
    <x v="58"/>
    <n v="4"/>
    <n v="5601.71"/>
    <x v="0"/>
  </r>
  <r>
    <x v="3"/>
    <x v="35"/>
    <x v="3"/>
    <x v="0"/>
    <x v="35"/>
    <n v="6"/>
    <n v="4571.16"/>
    <x v="0"/>
  </r>
  <r>
    <x v="3"/>
    <x v="19"/>
    <x v="0"/>
    <x v="0"/>
    <x v="19"/>
    <n v="2"/>
    <n v="4191.5200000000004"/>
    <x v="0"/>
  </r>
  <r>
    <x v="3"/>
    <x v="31"/>
    <x v="3"/>
    <x v="0"/>
    <x v="31"/>
    <n v="3"/>
    <n v="3302.55"/>
    <x v="0"/>
  </r>
  <r>
    <x v="3"/>
    <x v="91"/>
    <x v="9"/>
    <x v="0"/>
    <x v="89"/>
    <n v="1"/>
    <n v="2965.25"/>
    <x v="0"/>
  </r>
  <r>
    <x v="3"/>
    <x v="2"/>
    <x v="0"/>
    <x v="0"/>
    <x v="2"/>
    <n v="2"/>
    <n v="2791.52"/>
    <x v="0"/>
  </r>
  <r>
    <x v="3"/>
    <x v="16"/>
    <x v="6"/>
    <x v="0"/>
    <x v="16"/>
    <n v="4"/>
    <n v="2708.48"/>
    <x v="0"/>
  </r>
  <r>
    <x v="3"/>
    <x v="20"/>
    <x v="3"/>
    <x v="0"/>
    <x v="20"/>
    <n v="4"/>
    <n v="2562.7199999999998"/>
    <x v="0"/>
  </r>
  <r>
    <x v="3"/>
    <x v="82"/>
    <x v="0"/>
    <x v="0"/>
    <x v="80"/>
    <n v="1"/>
    <n v="2096.61"/>
    <x v="0"/>
  </r>
  <r>
    <x v="3"/>
    <x v="61"/>
    <x v="0"/>
    <x v="0"/>
    <x v="59"/>
    <n v="1"/>
    <n v="2095.7600000000002"/>
    <x v="0"/>
  </r>
  <r>
    <x v="3"/>
    <x v="34"/>
    <x v="6"/>
    <x v="0"/>
    <x v="34"/>
    <n v="2"/>
    <n v="1862.72"/>
    <x v="0"/>
  </r>
  <r>
    <x v="3"/>
    <x v="18"/>
    <x v="3"/>
    <x v="0"/>
    <x v="18"/>
    <n v="5"/>
    <n v="1677.95"/>
    <x v="0"/>
  </r>
  <r>
    <x v="3"/>
    <x v="25"/>
    <x v="0"/>
    <x v="0"/>
    <x v="25"/>
    <n v="1"/>
    <n v="1588.98"/>
    <x v="0"/>
  </r>
  <r>
    <x v="3"/>
    <x v="15"/>
    <x v="0"/>
    <x v="0"/>
    <x v="15"/>
    <n v="1"/>
    <n v="1588.98"/>
    <x v="0"/>
  </r>
  <r>
    <x v="3"/>
    <x v="27"/>
    <x v="0"/>
    <x v="0"/>
    <x v="27"/>
    <n v="1"/>
    <n v="1397.46"/>
    <x v="0"/>
  </r>
  <r>
    <x v="3"/>
    <x v="87"/>
    <x v="0"/>
    <x v="0"/>
    <x v="85"/>
    <n v="1"/>
    <n v="1397.46"/>
    <x v="0"/>
  </r>
  <r>
    <x v="3"/>
    <x v="92"/>
    <x v="3"/>
    <x v="0"/>
    <x v="90"/>
    <n v="1"/>
    <n v="1269.49"/>
    <x v="0"/>
  </r>
  <r>
    <x v="3"/>
    <x v="13"/>
    <x v="3"/>
    <x v="0"/>
    <x v="13"/>
    <n v="1"/>
    <n v="1184.75"/>
    <x v="0"/>
  </r>
  <r>
    <x v="3"/>
    <x v="85"/>
    <x v="2"/>
    <x v="2"/>
    <x v="83"/>
    <n v="2"/>
    <n v="1184.74"/>
    <x v="0"/>
  </r>
  <r>
    <x v="3"/>
    <x v="11"/>
    <x v="4"/>
    <x v="3"/>
    <x v="11"/>
    <n v="7"/>
    <n v="1061.83"/>
    <x v="0"/>
  </r>
  <r>
    <x v="3"/>
    <x v="93"/>
    <x v="3"/>
    <x v="0"/>
    <x v="91"/>
    <n v="2"/>
    <n v="1013.56"/>
    <x v="0"/>
  </r>
  <r>
    <x v="3"/>
    <x v="64"/>
    <x v="3"/>
    <x v="0"/>
    <x v="62"/>
    <n v="4"/>
    <n v="1010.16"/>
    <x v="0"/>
  </r>
  <r>
    <x v="3"/>
    <x v="22"/>
    <x v="3"/>
    <x v="0"/>
    <x v="22"/>
    <n v="1"/>
    <n v="931.36"/>
    <x v="0"/>
  </r>
  <r>
    <x v="3"/>
    <x v="6"/>
    <x v="3"/>
    <x v="0"/>
    <x v="6"/>
    <n v="2"/>
    <n v="928.82"/>
    <x v="0"/>
  </r>
  <r>
    <x v="3"/>
    <x v="23"/>
    <x v="3"/>
    <x v="0"/>
    <x v="23"/>
    <n v="2"/>
    <n v="920.32"/>
    <x v="0"/>
  </r>
  <r>
    <x v="3"/>
    <x v="24"/>
    <x v="3"/>
    <x v="0"/>
    <x v="24"/>
    <n v="1"/>
    <n v="845.76"/>
    <x v="0"/>
  </r>
  <r>
    <x v="3"/>
    <x v="46"/>
    <x v="7"/>
    <x v="2"/>
    <x v="45"/>
    <n v="2"/>
    <n v="711.87"/>
    <x v="0"/>
  </r>
  <r>
    <x v="3"/>
    <x v="63"/>
    <x v="9"/>
    <x v="0"/>
    <x v="61"/>
    <n v="1"/>
    <n v="677.12"/>
    <x v="0"/>
  </r>
  <r>
    <x v="3"/>
    <x v="70"/>
    <x v="7"/>
    <x v="2"/>
    <x v="68"/>
    <n v="2"/>
    <n v="652.52"/>
    <x v="0"/>
  </r>
  <r>
    <x v="3"/>
    <x v="17"/>
    <x v="7"/>
    <x v="2"/>
    <x v="17"/>
    <n v="4"/>
    <n v="559.34"/>
    <x v="0"/>
  </r>
  <r>
    <x v="3"/>
    <x v="8"/>
    <x v="5"/>
    <x v="3"/>
    <x v="8"/>
    <n v="3"/>
    <n v="505.92"/>
    <x v="0"/>
  </r>
  <r>
    <x v="3"/>
    <x v="7"/>
    <x v="4"/>
    <x v="3"/>
    <x v="7"/>
    <n v="3"/>
    <n v="505.92"/>
    <x v="0"/>
  </r>
  <r>
    <x v="3"/>
    <x v="40"/>
    <x v="2"/>
    <x v="2"/>
    <x v="39"/>
    <n v="1"/>
    <n v="505.08"/>
    <x v="0"/>
  </r>
  <r>
    <x v="3"/>
    <x v="42"/>
    <x v="3"/>
    <x v="0"/>
    <x v="41"/>
    <n v="1"/>
    <n v="462.71"/>
    <x v="0"/>
  </r>
  <r>
    <x v="3"/>
    <x v="66"/>
    <x v="2"/>
    <x v="2"/>
    <x v="64"/>
    <n v="1"/>
    <n v="422.03"/>
    <x v="0"/>
  </r>
  <r>
    <x v="3"/>
    <x v="50"/>
    <x v="7"/>
    <x v="2"/>
    <x v="48"/>
    <n v="4"/>
    <n v="366.12"/>
    <x v="0"/>
  </r>
  <r>
    <x v="3"/>
    <x v="37"/>
    <x v="7"/>
    <x v="2"/>
    <x v="37"/>
    <n v="5"/>
    <n v="360.19"/>
    <x v="0"/>
  </r>
  <r>
    <x v="3"/>
    <x v="67"/>
    <x v="2"/>
    <x v="2"/>
    <x v="65"/>
    <n v="1"/>
    <n v="337.29"/>
    <x v="0"/>
  </r>
  <r>
    <x v="3"/>
    <x v="41"/>
    <x v="3"/>
    <x v="0"/>
    <x v="40"/>
    <n v="1"/>
    <n v="252.54"/>
    <x v="0"/>
  </r>
  <r>
    <x v="3"/>
    <x v="36"/>
    <x v="3"/>
    <x v="0"/>
    <x v="36"/>
    <n v="1"/>
    <n v="250.84"/>
    <x v="0"/>
  </r>
  <r>
    <x v="3"/>
    <x v="68"/>
    <x v="7"/>
    <x v="2"/>
    <x v="66"/>
    <n v="1"/>
    <n v="225.42"/>
    <x v="0"/>
  </r>
  <r>
    <x v="3"/>
    <x v="43"/>
    <x v="7"/>
    <x v="2"/>
    <x v="42"/>
    <n v="1"/>
    <n v="222.88"/>
    <x v="0"/>
  </r>
  <r>
    <x v="3"/>
    <x v="81"/>
    <x v="7"/>
    <x v="2"/>
    <x v="79"/>
    <n v="1"/>
    <n v="222.03"/>
    <x v="0"/>
  </r>
  <r>
    <x v="3"/>
    <x v="65"/>
    <x v="7"/>
    <x v="2"/>
    <x v="63"/>
    <n v="1"/>
    <n v="212.71"/>
    <x v="0"/>
  </r>
  <r>
    <x v="3"/>
    <x v="9"/>
    <x v="4"/>
    <x v="3"/>
    <x v="9"/>
    <n v="1"/>
    <n v="168.64"/>
    <x v="0"/>
  </r>
  <r>
    <x v="3"/>
    <x v="86"/>
    <x v="7"/>
    <x v="2"/>
    <x v="84"/>
    <n v="1"/>
    <n v="165.26"/>
    <x v="0"/>
  </r>
  <r>
    <x v="3"/>
    <x v="53"/>
    <x v="7"/>
    <x v="2"/>
    <x v="51"/>
    <n v="4"/>
    <n v="159.36000000000001"/>
    <x v="0"/>
  </r>
  <r>
    <x v="3"/>
    <x v="52"/>
    <x v="7"/>
    <x v="2"/>
    <x v="50"/>
    <n v="1"/>
    <n v="153.38999999999999"/>
    <x v="0"/>
  </r>
  <r>
    <x v="3"/>
    <x v="78"/>
    <x v="2"/>
    <x v="2"/>
    <x v="76"/>
    <n v="0"/>
    <n v="1.69"/>
    <x v="0"/>
  </r>
  <r>
    <x v="3"/>
    <x v="3"/>
    <x v="1"/>
    <x v="1"/>
    <x v="3"/>
    <n v="0"/>
    <n v="0.02"/>
    <x v="0"/>
  </r>
  <r>
    <x v="3"/>
    <x v="39"/>
    <x v="1"/>
    <x v="1"/>
    <x v="3"/>
    <n v="0"/>
    <n v="0"/>
    <x v="0"/>
  </r>
  <r>
    <x v="3"/>
    <x v="80"/>
    <x v="3"/>
    <x v="0"/>
    <x v="78"/>
    <n v="0"/>
    <n v="0"/>
    <x v="0"/>
  </r>
  <r>
    <x v="3"/>
    <x v="94"/>
    <x v="9"/>
    <x v="0"/>
    <x v="92"/>
    <n v="0"/>
    <n v="0"/>
    <x v="0"/>
  </r>
  <r>
    <x v="3"/>
    <x v="33"/>
    <x v="3"/>
    <x v="0"/>
    <x v="33"/>
    <n v="0"/>
    <n v="0"/>
    <x v="0"/>
  </r>
  <r>
    <x v="3"/>
    <x v="30"/>
    <x v="3"/>
    <x v="0"/>
    <x v="30"/>
    <n v="0"/>
    <n v="0"/>
    <x v="0"/>
  </r>
  <r>
    <x v="3"/>
    <x v="14"/>
    <x v="3"/>
    <x v="0"/>
    <x v="14"/>
    <n v="0"/>
    <n v="0"/>
    <x v="0"/>
  </r>
  <r>
    <x v="3"/>
    <x v="56"/>
    <x v="3"/>
    <x v="0"/>
    <x v="54"/>
    <n v="0"/>
    <n v="0"/>
    <x v="0"/>
  </r>
  <r>
    <x v="3"/>
    <x v="76"/>
    <x v="3"/>
    <x v="0"/>
    <x v="74"/>
    <n v="0"/>
    <n v="0"/>
    <x v="0"/>
  </r>
  <r>
    <x v="3"/>
    <x v="71"/>
    <x v="7"/>
    <x v="2"/>
    <x v="69"/>
    <n v="0"/>
    <n v="0"/>
    <x v="0"/>
  </r>
  <r>
    <x v="3"/>
    <x v="12"/>
    <x v="4"/>
    <x v="3"/>
    <x v="12"/>
    <n v="0"/>
    <n v="0"/>
    <x v="0"/>
  </r>
  <r>
    <x v="3"/>
    <x v="49"/>
    <x v="5"/>
    <x v="3"/>
    <x v="47"/>
    <n v="0"/>
    <n v="0"/>
    <x v="0"/>
  </r>
  <r>
    <x v="3"/>
    <x v="79"/>
    <x v="6"/>
    <x v="0"/>
    <x v="77"/>
    <n v="0"/>
    <n v="0"/>
    <x v="0"/>
  </r>
  <r>
    <x v="3"/>
    <x v="28"/>
    <x v="2"/>
    <x v="2"/>
    <x v="28"/>
    <n v="0"/>
    <n v="0"/>
    <x v="0"/>
  </r>
  <r>
    <x v="3"/>
    <x v="75"/>
    <x v="3"/>
    <x v="0"/>
    <x v="73"/>
    <n v="0"/>
    <n v="0"/>
    <x v="0"/>
  </r>
  <r>
    <x v="3"/>
    <x v="59"/>
    <x v="0"/>
    <x v="0"/>
    <x v="57"/>
    <n v="0"/>
    <n v="0"/>
    <x v="0"/>
  </r>
  <r>
    <x v="3"/>
    <x v="47"/>
    <x v="1"/>
    <x v="1"/>
    <x v="3"/>
    <n v="0"/>
    <n v="0"/>
    <x v="0"/>
  </r>
  <r>
    <x v="3"/>
    <x v="72"/>
    <x v="9"/>
    <x v="0"/>
    <x v="70"/>
    <n v="0"/>
    <n v="0"/>
    <x v="0"/>
  </r>
  <r>
    <x v="3"/>
    <x v="95"/>
    <x v="10"/>
    <x v="4"/>
    <x v="93"/>
    <n v="0"/>
    <n v="0"/>
    <x v="0"/>
  </r>
  <r>
    <x v="3"/>
    <x v="29"/>
    <x v="3"/>
    <x v="0"/>
    <x v="29"/>
    <n v="0"/>
    <n v="0"/>
    <x v="0"/>
  </r>
  <r>
    <x v="3"/>
    <x v="73"/>
    <x v="3"/>
    <x v="0"/>
    <x v="71"/>
    <n v="0"/>
    <n v="0"/>
    <x v="0"/>
  </r>
  <r>
    <x v="3"/>
    <x v="51"/>
    <x v="7"/>
    <x v="2"/>
    <x v="49"/>
    <n v="0"/>
    <n v="0"/>
    <x v="0"/>
  </r>
  <r>
    <x v="3"/>
    <x v="96"/>
    <x v="9"/>
    <x v="0"/>
    <x v="94"/>
    <n v="0"/>
    <n v="0"/>
    <x v="0"/>
  </r>
  <r>
    <x v="3"/>
    <x v="97"/>
    <x v="2"/>
    <x v="2"/>
    <x v="95"/>
    <n v="0"/>
    <n v="0"/>
    <x v="0"/>
  </r>
  <r>
    <x v="4"/>
    <x v="0"/>
    <x v="0"/>
    <x v="0"/>
    <x v="0"/>
    <n v="79"/>
    <n v="110399.34"/>
    <x v="0"/>
  </r>
  <r>
    <x v="4"/>
    <x v="3"/>
    <x v="1"/>
    <x v="1"/>
    <x v="3"/>
    <n v="6"/>
    <n v="29195.75"/>
    <x v="0"/>
  </r>
  <r>
    <x v="4"/>
    <x v="5"/>
    <x v="0"/>
    <x v="0"/>
    <x v="5"/>
    <n v="12"/>
    <n v="25149.119999999999"/>
    <x v="0"/>
  </r>
  <r>
    <x v="4"/>
    <x v="98"/>
    <x v="9"/>
    <x v="0"/>
    <x v="96"/>
    <n v="7"/>
    <n v="11858.48"/>
    <x v="0"/>
  </r>
  <r>
    <x v="4"/>
    <x v="1"/>
    <x v="0"/>
    <x v="0"/>
    <x v="1"/>
    <n v="7"/>
    <n v="11122.86"/>
    <x v="0"/>
  </r>
  <r>
    <x v="4"/>
    <x v="19"/>
    <x v="0"/>
    <x v="0"/>
    <x v="19"/>
    <n v="3"/>
    <n v="6287.28"/>
    <x v="0"/>
  </r>
  <r>
    <x v="4"/>
    <x v="4"/>
    <x v="2"/>
    <x v="2"/>
    <x v="4"/>
    <n v="8"/>
    <n v="6013.58"/>
    <x v="0"/>
  </r>
  <r>
    <x v="4"/>
    <x v="10"/>
    <x v="3"/>
    <x v="0"/>
    <x v="10"/>
    <n v="7"/>
    <n v="5380.48"/>
    <x v="0"/>
  </r>
  <r>
    <x v="4"/>
    <x v="2"/>
    <x v="0"/>
    <x v="0"/>
    <x v="2"/>
    <n v="3"/>
    <n v="4187.28"/>
    <x v="0"/>
  </r>
  <r>
    <x v="4"/>
    <x v="34"/>
    <x v="6"/>
    <x v="0"/>
    <x v="34"/>
    <n v="4"/>
    <n v="3725.44"/>
    <x v="0"/>
  </r>
  <r>
    <x v="4"/>
    <x v="15"/>
    <x v="0"/>
    <x v="0"/>
    <x v="15"/>
    <n v="2"/>
    <n v="3177.96"/>
    <x v="0"/>
  </r>
  <r>
    <x v="4"/>
    <x v="27"/>
    <x v="0"/>
    <x v="0"/>
    <x v="27"/>
    <n v="2"/>
    <n v="2794.92"/>
    <x v="0"/>
  </r>
  <r>
    <x v="4"/>
    <x v="22"/>
    <x v="3"/>
    <x v="0"/>
    <x v="22"/>
    <n v="3"/>
    <n v="2794.08"/>
    <x v="0"/>
  </r>
  <r>
    <x v="4"/>
    <x v="13"/>
    <x v="3"/>
    <x v="0"/>
    <x v="13"/>
    <n v="2"/>
    <n v="2369.48"/>
    <x v="0"/>
  </r>
  <r>
    <x v="4"/>
    <x v="6"/>
    <x v="3"/>
    <x v="0"/>
    <x v="6"/>
    <n v="5"/>
    <n v="2322.0500000000002"/>
    <x v="0"/>
  </r>
  <r>
    <x v="4"/>
    <x v="35"/>
    <x v="3"/>
    <x v="0"/>
    <x v="35"/>
    <n v="3"/>
    <n v="2285.58"/>
    <x v="0"/>
  </r>
  <r>
    <x v="4"/>
    <x v="88"/>
    <x v="0"/>
    <x v="0"/>
    <x v="86"/>
    <n v="1"/>
    <n v="2095.7600000000002"/>
    <x v="0"/>
  </r>
  <r>
    <x v="4"/>
    <x v="61"/>
    <x v="0"/>
    <x v="0"/>
    <x v="59"/>
    <n v="1"/>
    <n v="2095.7600000000002"/>
    <x v="0"/>
  </r>
  <r>
    <x v="4"/>
    <x v="16"/>
    <x v="6"/>
    <x v="0"/>
    <x v="16"/>
    <n v="3"/>
    <n v="2031.36"/>
    <x v="0"/>
  </r>
  <r>
    <x v="4"/>
    <x v="20"/>
    <x v="3"/>
    <x v="0"/>
    <x v="20"/>
    <n v="3"/>
    <n v="1922.04"/>
    <x v="0"/>
  </r>
  <r>
    <x v="4"/>
    <x v="42"/>
    <x v="3"/>
    <x v="0"/>
    <x v="41"/>
    <n v="4"/>
    <n v="1850.85"/>
    <x v="0"/>
  </r>
  <r>
    <x v="4"/>
    <x v="94"/>
    <x v="9"/>
    <x v="0"/>
    <x v="92"/>
    <n v="1"/>
    <n v="1694.07"/>
    <x v="0"/>
  </r>
  <r>
    <x v="4"/>
    <x v="14"/>
    <x v="3"/>
    <x v="0"/>
    <x v="14"/>
    <n v="2"/>
    <n v="1689.84"/>
    <x v="0"/>
  </r>
  <r>
    <x v="4"/>
    <x v="26"/>
    <x v="0"/>
    <x v="0"/>
    <x v="26"/>
    <n v="1"/>
    <n v="1588.14"/>
    <x v="0"/>
  </r>
  <r>
    <x v="4"/>
    <x v="63"/>
    <x v="9"/>
    <x v="0"/>
    <x v="61"/>
    <n v="2"/>
    <n v="1354.24"/>
    <x v="0"/>
  </r>
  <r>
    <x v="4"/>
    <x v="33"/>
    <x v="3"/>
    <x v="0"/>
    <x v="33"/>
    <n v="4"/>
    <n v="1342.36"/>
    <x v="0"/>
  </r>
  <r>
    <x v="4"/>
    <x v="92"/>
    <x v="3"/>
    <x v="0"/>
    <x v="90"/>
    <n v="1"/>
    <n v="1269.49"/>
    <x v="0"/>
  </r>
  <r>
    <x v="4"/>
    <x v="30"/>
    <x v="3"/>
    <x v="0"/>
    <x v="30"/>
    <n v="1"/>
    <n v="1134.75"/>
    <x v="0"/>
  </r>
  <r>
    <x v="4"/>
    <x v="97"/>
    <x v="2"/>
    <x v="2"/>
    <x v="95"/>
    <n v="1"/>
    <n v="1100.8499999999999"/>
    <x v="0"/>
  </r>
  <r>
    <x v="4"/>
    <x v="75"/>
    <x v="3"/>
    <x v="0"/>
    <x v="73"/>
    <n v="2"/>
    <n v="1076.28"/>
    <x v="0"/>
  </r>
  <r>
    <x v="4"/>
    <x v="65"/>
    <x v="7"/>
    <x v="2"/>
    <x v="63"/>
    <n v="5"/>
    <n v="1060.18"/>
    <x v="0"/>
  </r>
  <r>
    <x v="4"/>
    <x v="18"/>
    <x v="3"/>
    <x v="0"/>
    <x v="18"/>
    <n v="3"/>
    <n v="1006.78"/>
    <x v="0"/>
  </r>
  <r>
    <x v="4"/>
    <x v="76"/>
    <x v="3"/>
    <x v="0"/>
    <x v="74"/>
    <n v="1"/>
    <n v="930.51"/>
    <x v="0"/>
  </r>
  <r>
    <x v="4"/>
    <x v="24"/>
    <x v="3"/>
    <x v="0"/>
    <x v="24"/>
    <n v="1"/>
    <n v="845.76"/>
    <x v="0"/>
  </r>
  <r>
    <x v="4"/>
    <x v="17"/>
    <x v="7"/>
    <x v="2"/>
    <x v="17"/>
    <n v="6"/>
    <n v="839"/>
    <x v="0"/>
  </r>
  <r>
    <x v="4"/>
    <x v="67"/>
    <x v="2"/>
    <x v="2"/>
    <x v="65"/>
    <n v="2"/>
    <n v="674.58"/>
    <x v="0"/>
  </r>
  <r>
    <x v="4"/>
    <x v="38"/>
    <x v="3"/>
    <x v="0"/>
    <x v="38"/>
    <n v="1"/>
    <n v="631.36"/>
    <x v="0"/>
  </r>
  <r>
    <x v="4"/>
    <x v="39"/>
    <x v="1"/>
    <x v="1"/>
    <x v="3"/>
    <n v="1"/>
    <n v="629.66"/>
    <x v="0"/>
  </r>
  <r>
    <x v="4"/>
    <x v="85"/>
    <x v="2"/>
    <x v="2"/>
    <x v="83"/>
    <n v="1"/>
    <n v="592.38"/>
    <x v="0"/>
  </r>
  <r>
    <x v="4"/>
    <x v="29"/>
    <x v="3"/>
    <x v="0"/>
    <x v="29"/>
    <n v="2"/>
    <n v="584.76"/>
    <x v="0"/>
  </r>
  <r>
    <x v="4"/>
    <x v="78"/>
    <x v="2"/>
    <x v="2"/>
    <x v="76"/>
    <n v="1"/>
    <n v="545.76"/>
    <x v="0"/>
  </r>
  <r>
    <x v="4"/>
    <x v="93"/>
    <x v="3"/>
    <x v="0"/>
    <x v="91"/>
    <n v="1"/>
    <n v="506.78"/>
    <x v="0"/>
  </r>
  <r>
    <x v="4"/>
    <x v="36"/>
    <x v="3"/>
    <x v="0"/>
    <x v="36"/>
    <n v="2"/>
    <n v="501.7"/>
    <x v="0"/>
  </r>
  <r>
    <x v="4"/>
    <x v="11"/>
    <x v="4"/>
    <x v="3"/>
    <x v="11"/>
    <n v="3"/>
    <n v="455.08"/>
    <x v="0"/>
  </r>
  <r>
    <x v="4"/>
    <x v="99"/>
    <x v="3"/>
    <x v="0"/>
    <x v="97"/>
    <n v="1"/>
    <n v="422.03"/>
    <x v="0"/>
  </r>
  <r>
    <x v="4"/>
    <x v="55"/>
    <x v="2"/>
    <x v="2"/>
    <x v="53"/>
    <n v="1"/>
    <n v="400.84"/>
    <x v="0"/>
  </r>
  <r>
    <x v="4"/>
    <x v="37"/>
    <x v="7"/>
    <x v="2"/>
    <x v="37"/>
    <n v="5"/>
    <n v="360.17"/>
    <x v="0"/>
  </r>
  <r>
    <x v="4"/>
    <x v="8"/>
    <x v="5"/>
    <x v="3"/>
    <x v="8"/>
    <n v="2"/>
    <n v="337.28"/>
    <x v="0"/>
  </r>
  <r>
    <x v="4"/>
    <x v="47"/>
    <x v="1"/>
    <x v="1"/>
    <x v="3"/>
    <n v="1"/>
    <n v="332.2"/>
    <x v="0"/>
  </r>
  <r>
    <x v="4"/>
    <x v="86"/>
    <x v="7"/>
    <x v="2"/>
    <x v="84"/>
    <n v="2"/>
    <n v="330.51"/>
    <x v="0"/>
  </r>
  <r>
    <x v="4"/>
    <x v="77"/>
    <x v="7"/>
    <x v="2"/>
    <x v="75"/>
    <n v="2"/>
    <n v="327.12"/>
    <x v="0"/>
  </r>
  <r>
    <x v="4"/>
    <x v="70"/>
    <x v="7"/>
    <x v="2"/>
    <x v="68"/>
    <n v="1"/>
    <n v="322.02999999999997"/>
    <x v="0"/>
  </r>
  <r>
    <x v="4"/>
    <x v="64"/>
    <x v="3"/>
    <x v="0"/>
    <x v="62"/>
    <n v="1"/>
    <n v="252.54"/>
    <x v="0"/>
  </r>
  <r>
    <x v="4"/>
    <x v="43"/>
    <x v="7"/>
    <x v="2"/>
    <x v="42"/>
    <n v="1"/>
    <n v="222.88"/>
    <x v="0"/>
  </r>
  <r>
    <x v="4"/>
    <x v="81"/>
    <x v="7"/>
    <x v="2"/>
    <x v="79"/>
    <n v="1"/>
    <n v="222.04"/>
    <x v="0"/>
  </r>
  <r>
    <x v="4"/>
    <x v="62"/>
    <x v="7"/>
    <x v="2"/>
    <x v="60"/>
    <n v="1"/>
    <n v="218.64"/>
    <x v="0"/>
  </r>
  <r>
    <x v="4"/>
    <x v="49"/>
    <x v="5"/>
    <x v="3"/>
    <x v="47"/>
    <n v="1"/>
    <n v="207.63"/>
    <x v="0"/>
  </r>
  <r>
    <x v="4"/>
    <x v="53"/>
    <x v="7"/>
    <x v="2"/>
    <x v="51"/>
    <n v="4"/>
    <n v="186.44"/>
    <x v="0"/>
  </r>
  <r>
    <x v="4"/>
    <x v="44"/>
    <x v="7"/>
    <x v="2"/>
    <x v="43"/>
    <n v="1"/>
    <n v="183.9"/>
    <x v="0"/>
  </r>
  <r>
    <x v="4"/>
    <x v="9"/>
    <x v="4"/>
    <x v="3"/>
    <x v="9"/>
    <n v="1"/>
    <n v="168.64"/>
    <x v="0"/>
  </r>
  <r>
    <x v="4"/>
    <x v="7"/>
    <x v="4"/>
    <x v="3"/>
    <x v="7"/>
    <n v="1"/>
    <n v="168.64"/>
    <x v="0"/>
  </r>
  <r>
    <x v="4"/>
    <x v="52"/>
    <x v="7"/>
    <x v="2"/>
    <x v="50"/>
    <n v="1"/>
    <n v="150.85"/>
    <x v="0"/>
  </r>
  <r>
    <x v="4"/>
    <x v="58"/>
    <x v="7"/>
    <x v="2"/>
    <x v="56"/>
    <n v="0"/>
    <n v="0"/>
    <x v="0"/>
  </r>
  <r>
    <x v="4"/>
    <x v="50"/>
    <x v="7"/>
    <x v="2"/>
    <x v="48"/>
    <n v="0"/>
    <n v="0"/>
    <x v="0"/>
  </r>
  <r>
    <x v="4"/>
    <x v="41"/>
    <x v="3"/>
    <x v="0"/>
    <x v="40"/>
    <n v="0"/>
    <n v="0"/>
    <x v="0"/>
  </r>
  <r>
    <x v="4"/>
    <x v="84"/>
    <x v="9"/>
    <x v="0"/>
    <x v="82"/>
    <n v="0"/>
    <n v="0"/>
    <x v="0"/>
  </r>
  <r>
    <x v="4"/>
    <x v="31"/>
    <x v="3"/>
    <x v="0"/>
    <x v="31"/>
    <n v="0"/>
    <n v="0"/>
    <x v="0"/>
  </r>
  <r>
    <x v="4"/>
    <x v="100"/>
    <x v="3"/>
    <x v="0"/>
    <x v="98"/>
    <n v="0"/>
    <n v="0"/>
    <x v="0"/>
  </r>
  <r>
    <x v="4"/>
    <x v="72"/>
    <x v="9"/>
    <x v="0"/>
    <x v="70"/>
    <n v="0"/>
    <n v="0"/>
    <x v="0"/>
  </r>
  <r>
    <x v="4"/>
    <x v="28"/>
    <x v="2"/>
    <x v="2"/>
    <x v="28"/>
    <n v="0"/>
    <n v="0"/>
    <x v="0"/>
  </r>
  <r>
    <x v="4"/>
    <x v="80"/>
    <x v="3"/>
    <x v="0"/>
    <x v="78"/>
    <n v="0"/>
    <n v="0"/>
    <x v="0"/>
  </r>
  <r>
    <x v="4"/>
    <x v="46"/>
    <x v="7"/>
    <x v="2"/>
    <x v="45"/>
    <n v="0"/>
    <n v="0"/>
    <x v="0"/>
  </r>
  <r>
    <x v="4"/>
    <x v="25"/>
    <x v="0"/>
    <x v="0"/>
    <x v="25"/>
    <n v="0"/>
    <n v="0"/>
    <x v="0"/>
  </r>
  <r>
    <x v="4"/>
    <x v="59"/>
    <x v="0"/>
    <x v="0"/>
    <x v="57"/>
    <n v="0"/>
    <n v="0"/>
    <x v="0"/>
  </r>
  <r>
    <x v="4"/>
    <x v="101"/>
    <x v="3"/>
    <x v="0"/>
    <x v="99"/>
    <n v="0"/>
    <n v="0"/>
    <x v="0"/>
  </r>
  <r>
    <x v="4"/>
    <x v="40"/>
    <x v="2"/>
    <x v="2"/>
    <x v="39"/>
    <n v="0"/>
    <n v="0"/>
    <x v="0"/>
  </r>
  <r>
    <x v="4"/>
    <x v="56"/>
    <x v="3"/>
    <x v="0"/>
    <x v="54"/>
    <n v="0"/>
    <n v="0"/>
    <x v="0"/>
  </r>
  <r>
    <x v="4"/>
    <x v="66"/>
    <x v="2"/>
    <x v="2"/>
    <x v="64"/>
    <n v="0"/>
    <n v="0"/>
    <x v="0"/>
  </r>
  <r>
    <x v="4"/>
    <x v="23"/>
    <x v="3"/>
    <x v="0"/>
    <x v="23"/>
    <n v="0"/>
    <n v="0"/>
    <x v="0"/>
  </r>
  <r>
    <x v="4"/>
    <x v="60"/>
    <x v="0"/>
    <x v="0"/>
    <x v="58"/>
    <n v="0"/>
    <n v="0"/>
    <x v="0"/>
  </r>
  <r>
    <x v="4"/>
    <x v="68"/>
    <x v="7"/>
    <x v="2"/>
    <x v="66"/>
    <n v="0"/>
    <n v="0"/>
    <x v="0"/>
  </r>
  <r>
    <x v="4"/>
    <x v="51"/>
    <x v="7"/>
    <x v="2"/>
    <x v="49"/>
    <n v="0"/>
    <n v="0"/>
    <x v="0"/>
  </r>
  <r>
    <x v="4"/>
    <x v="73"/>
    <x v="3"/>
    <x v="0"/>
    <x v="71"/>
    <n v="0"/>
    <n v="0"/>
    <x v="0"/>
  </r>
  <r>
    <x v="4"/>
    <x v="87"/>
    <x v="0"/>
    <x v="0"/>
    <x v="85"/>
    <n v="0"/>
    <n v="0"/>
    <x v="0"/>
  </r>
  <r>
    <x v="4"/>
    <x v="71"/>
    <x v="7"/>
    <x v="2"/>
    <x v="69"/>
    <n v="0"/>
    <n v="0"/>
    <x v="0"/>
  </r>
  <r>
    <x v="4"/>
    <x v="48"/>
    <x v="7"/>
    <x v="2"/>
    <x v="46"/>
    <n v="0"/>
    <n v="0"/>
    <x v="0"/>
  </r>
  <r>
    <x v="4"/>
    <x v="12"/>
    <x v="4"/>
    <x v="3"/>
    <x v="12"/>
    <n v="0"/>
    <n v="0"/>
    <x v="0"/>
  </r>
  <r>
    <x v="4"/>
    <x v="74"/>
    <x v="2"/>
    <x v="2"/>
    <x v="72"/>
    <n v="0"/>
    <n v="0"/>
    <x v="0"/>
  </r>
  <r>
    <x v="0"/>
    <x v="49"/>
    <x v="5"/>
    <x v="3"/>
    <x v="47"/>
    <n v="35"/>
    <n v="9100"/>
    <x v="1"/>
  </r>
  <r>
    <x v="0"/>
    <x v="102"/>
    <x v="11"/>
    <x v="2"/>
    <x v="100"/>
    <n v="25"/>
    <n v="9594"/>
    <x v="1"/>
  </r>
  <r>
    <x v="0"/>
    <x v="66"/>
    <x v="2"/>
    <x v="2"/>
    <x v="64"/>
    <n v="22"/>
    <n v="11477"/>
    <x v="1"/>
  </r>
  <r>
    <x v="0"/>
    <x v="12"/>
    <x v="4"/>
    <x v="3"/>
    <x v="12"/>
    <n v="13"/>
    <n v="2730"/>
    <x v="1"/>
  </r>
  <r>
    <x v="0"/>
    <x v="9"/>
    <x v="4"/>
    <x v="3"/>
    <x v="9"/>
    <n v="11"/>
    <n v="2310"/>
    <x v="1"/>
  </r>
  <r>
    <x v="0"/>
    <x v="8"/>
    <x v="5"/>
    <x v="3"/>
    <x v="8"/>
    <n v="10"/>
    <n v="2100"/>
    <x v="1"/>
  </r>
  <r>
    <x v="0"/>
    <x v="33"/>
    <x v="3"/>
    <x v="0"/>
    <x v="33"/>
    <n v="9"/>
    <n v="3591"/>
    <x v="1"/>
  </r>
  <r>
    <x v="0"/>
    <x v="103"/>
    <x v="12"/>
    <x v="4"/>
    <x v="101"/>
    <n v="8"/>
    <n v="4279"/>
    <x v="1"/>
  </r>
  <r>
    <x v="0"/>
    <x v="10"/>
    <x v="3"/>
    <x v="0"/>
    <x v="10"/>
    <n v="5"/>
    <n v="5394"/>
    <x v="1"/>
  </r>
  <r>
    <x v="0"/>
    <x v="6"/>
    <x v="3"/>
    <x v="0"/>
    <x v="6"/>
    <n v="5"/>
    <n v="2745"/>
    <x v="1"/>
  </r>
  <r>
    <x v="0"/>
    <x v="104"/>
    <x v="12"/>
    <x v="4"/>
    <x v="102"/>
    <n v="5"/>
    <n v="2274"/>
    <x v="1"/>
  </r>
  <r>
    <x v="0"/>
    <x v="105"/>
    <x v="12"/>
    <x v="4"/>
    <x v="103"/>
    <n v="3"/>
    <n v="1137"/>
    <x v="1"/>
  </r>
  <r>
    <x v="0"/>
    <x v="7"/>
    <x v="4"/>
    <x v="3"/>
    <x v="7"/>
    <n v="3"/>
    <n v="630"/>
    <x v="1"/>
  </r>
  <r>
    <x v="0"/>
    <x v="49"/>
    <x v="5"/>
    <x v="3"/>
    <x v="104"/>
    <n v="3"/>
    <n v="778.42"/>
    <x v="1"/>
  </r>
  <r>
    <x v="0"/>
    <x v="59"/>
    <x v="0"/>
    <x v="0"/>
    <x v="57"/>
    <n v="2"/>
    <n v="5798"/>
    <x v="1"/>
  </r>
  <r>
    <x v="0"/>
    <x v="16"/>
    <x v="6"/>
    <x v="0"/>
    <x v="16"/>
    <n v="2"/>
    <n v="1598"/>
    <x v="1"/>
  </r>
  <r>
    <x v="0"/>
    <x v="35"/>
    <x v="3"/>
    <x v="0"/>
    <x v="35"/>
    <n v="2"/>
    <n v="1998"/>
    <x v="1"/>
  </r>
  <r>
    <x v="0"/>
    <x v="106"/>
    <x v="13"/>
    <x v="0"/>
    <x v="105"/>
    <n v="2"/>
    <n v="2598"/>
    <x v="1"/>
  </r>
  <r>
    <x v="0"/>
    <x v="107"/>
    <x v="10"/>
    <x v="4"/>
    <x v="106"/>
    <n v="1"/>
    <n v="925"/>
    <x v="1"/>
  </r>
  <r>
    <x v="0"/>
    <x v="108"/>
    <x v="12"/>
    <x v="4"/>
    <x v="107"/>
    <n v="1"/>
    <n v="819"/>
    <x v="1"/>
  </r>
  <r>
    <x v="0"/>
    <x v="109"/>
    <x v="12"/>
    <x v="4"/>
    <x v="108"/>
    <n v="1"/>
    <n v="409"/>
    <x v="1"/>
  </r>
  <r>
    <x v="0"/>
    <x v="4"/>
    <x v="2"/>
    <x v="2"/>
    <x v="4"/>
    <n v="1"/>
    <n v="0"/>
    <x v="1"/>
  </r>
  <r>
    <x v="0"/>
    <x v="110"/>
    <x v="12"/>
    <x v="4"/>
    <x v="109"/>
    <n v="1"/>
    <n v="379"/>
    <x v="1"/>
  </r>
  <r>
    <x v="0"/>
    <x v="110"/>
    <x v="12"/>
    <x v="4"/>
    <x v="110"/>
    <n v="1"/>
    <n v="441"/>
    <x v="1"/>
  </r>
  <r>
    <x v="0"/>
    <x v="103"/>
    <x v="12"/>
    <x v="4"/>
    <x v="111"/>
    <n v="1"/>
    <n v="389"/>
    <x v="1"/>
  </r>
  <r>
    <x v="0"/>
    <x v="100"/>
    <x v="3"/>
    <x v="0"/>
    <x v="98"/>
    <n v="1"/>
    <n v="2225"/>
    <x v="1"/>
  </r>
  <r>
    <x v="0"/>
    <x v="20"/>
    <x v="3"/>
    <x v="0"/>
    <x v="20"/>
    <n v="1"/>
    <n v="749"/>
    <x v="1"/>
  </r>
  <r>
    <x v="0"/>
    <x v="75"/>
    <x v="3"/>
    <x v="0"/>
    <x v="73"/>
    <n v="1"/>
    <n v="559"/>
    <x v="1"/>
  </r>
  <r>
    <x v="0"/>
    <x v="69"/>
    <x v="3"/>
    <x v="0"/>
    <x v="67"/>
    <n v="1"/>
    <n v="1377"/>
    <x v="1"/>
  </r>
  <r>
    <x v="0"/>
    <x v="38"/>
    <x v="3"/>
    <x v="0"/>
    <x v="38"/>
    <n v="1"/>
    <n v="715"/>
    <x v="1"/>
  </r>
  <r>
    <x v="0"/>
    <x v="13"/>
    <x v="3"/>
    <x v="0"/>
    <x v="13"/>
    <n v="1"/>
    <n v="1399"/>
    <x v="1"/>
  </r>
  <r>
    <x v="0"/>
    <x v="29"/>
    <x v="3"/>
    <x v="0"/>
    <x v="29"/>
    <n v="1"/>
    <n v="370"/>
    <x v="1"/>
  </r>
  <r>
    <x v="0"/>
    <x v="111"/>
    <x v="0"/>
    <x v="0"/>
    <x v="112"/>
    <n v="1"/>
    <n v="699"/>
    <x v="1"/>
  </r>
  <r>
    <x v="0"/>
    <x v="112"/>
    <x v="12"/>
    <x v="4"/>
    <x v="113"/>
    <n v="1"/>
    <n v="379"/>
    <x v="1"/>
  </r>
  <r>
    <x v="0"/>
    <x v="92"/>
    <x v="3"/>
    <x v="0"/>
    <x v="90"/>
    <n v="1"/>
    <n v="1499"/>
    <x v="1"/>
  </r>
  <r>
    <x v="0"/>
    <x v="76"/>
    <x v="3"/>
    <x v="0"/>
    <x v="74"/>
    <n v="1"/>
    <n v="1099"/>
    <x v="1"/>
  </r>
  <r>
    <x v="0"/>
    <x v="113"/>
    <x v="9"/>
    <x v="0"/>
    <x v="114"/>
    <n v="1"/>
    <n v="999"/>
    <x v="1"/>
  </r>
  <r>
    <x v="1"/>
    <x v="102"/>
    <x v="11"/>
    <x v="2"/>
    <x v="100"/>
    <n v="31"/>
    <n v="12870.5"/>
    <x v="1"/>
  </r>
  <r>
    <x v="1"/>
    <x v="66"/>
    <x v="2"/>
    <x v="2"/>
    <x v="64"/>
    <n v="21"/>
    <n v="10479"/>
    <x v="1"/>
  </r>
  <r>
    <x v="1"/>
    <x v="9"/>
    <x v="4"/>
    <x v="3"/>
    <x v="9"/>
    <n v="9"/>
    <n v="1791"/>
    <x v="1"/>
  </r>
  <r>
    <x v="1"/>
    <x v="12"/>
    <x v="4"/>
    <x v="3"/>
    <x v="12"/>
    <n v="9"/>
    <n v="1813"/>
    <x v="1"/>
  </r>
  <r>
    <x v="1"/>
    <x v="8"/>
    <x v="5"/>
    <x v="3"/>
    <x v="8"/>
    <n v="9"/>
    <n v="2211"/>
    <x v="1"/>
  </r>
  <r>
    <x v="1"/>
    <x v="7"/>
    <x v="4"/>
    <x v="3"/>
    <x v="7"/>
    <n v="6"/>
    <n v="1393"/>
    <x v="1"/>
  </r>
  <r>
    <x v="1"/>
    <x v="104"/>
    <x v="12"/>
    <x v="4"/>
    <x v="102"/>
    <n v="5"/>
    <n v="1895"/>
    <x v="1"/>
  </r>
  <r>
    <x v="1"/>
    <x v="49"/>
    <x v="5"/>
    <x v="3"/>
    <x v="47"/>
    <n v="5"/>
    <n v="1255"/>
    <x v="1"/>
  </r>
  <r>
    <x v="1"/>
    <x v="110"/>
    <x v="12"/>
    <x v="4"/>
    <x v="109"/>
    <n v="3"/>
    <n v="758"/>
    <x v="1"/>
  </r>
  <r>
    <x v="1"/>
    <x v="10"/>
    <x v="3"/>
    <x v="0"/>
    <x v="10"/>
    <n v="3"/>
    <n v="2697"/>
    <x v="1"/>
  </r>
  <r>
    <x v="1"/>
    <x v="33"/>
    <x v="3"/>
    <x v="0"/>
    <x v="33"/>
    <n v="3"/>
    <n v="1197"/>
    <x v="1"/>
  </r>
  <r>
    <x v="1"/>
    <x v="106"/>
    <x v="13"/>
    <x v="0"/>
    <x v="105"/>
    <n v="3"/>
    <n v="3897"/>
    <x v="1"/>
  </r>
  <r>
    <x v="1"/>
    <x v="114"/>
    <x v="9"/>
    <x v="0"/>
    <x v="115"/>
    <n v="3"/>
    <n v="2997"/>
    <x v="1"/>
  </r>
  <r>
    <x v="1"/>
    <x v="103"/>
    <x v="12"/>
    <x v="4"/>
    <x v="111"/>
    <n v="2"/>
    <n v="778"/>
    <x v="1"/>
  </r>
  <r>
    <x v="1"/>
    <x v="103"/>
    <x v="12"/>
    <x v="4"/>
    <x v="101"/>
    <n v="2"/>
    <n v="1167"/>
    <x v="1"/>
  </r>
  <r>
    <x v="1"/>
    <x v="21"/>
    <x v="3"/>
    <x v="0"/>
    <x v="21"/>
    <n v="2"/>
    <n v="3036"/>
    <x v="1"/>
  </r>
  <r>
    <x v="1"/>
    <x v="6"/>
    <x v="3"/>
    <x v="0"/>
    <x v="6"/>
    <n v="2"/>
    <n v="1098"/>
    <x v="1"/>
  </r>
  <r>
    <x v="1"/>
    <x v="105"/>
    <x v="12"/>
    <x v="4"/>
    <x v="103"/>
    <n v="2"/>
    <n v="758"/>
    <x v="1"/>
  </r>
  <r>
    <x v="1"/>
    <x v="113"/>
    <x v="9"/>
    <x v="0"/>
    <x v="114"/>
    <n v="2"/>
    <n v="1998"/>
    <x v="1"/>
  </r>
  <r>
    <x v="1"/>
    <x v="115"/>
    <x v="10"/>
    <x v="4"/>
    <x v="116"/>
    <n v="1"/>
    <n v="1249"/>
    <x v="1"/>
  </r>
  <r>
    <x v="1"/>
    <x v="108"/>
    <x v="12"/>
    <x v="4"/>
    <x v="107"/>
    <n v="1"/>
    <n v="819"/>
    <x v="1"/>
  </r>
  <r>
    <x v="1"/>
    <x v="116"/>
    <x v="10"/>
    <x v="4"/>
    <x v="117"/>
    <n v="1"/>
    <n v="899"/>
    <x v="1"/>
  </r>
  <r>
    <x v="1"/>
    <x v="117"/>
    <x v="10"/>
    <x v="4"/>
    <x v="118"/>
    <n v="1"/>
    <n v="899"/>
    <x v="1"/>
  </r>
  <r>
    <x v="1"/>
    <x v="118"/>
    <x v="10"/>
    <x v="4"/>
    <x v="119"/>
    <n v="1"/>
    <n v="899"/>
    <x v="1"/>
  </r>
  <r>
    <x v="1"/>
    <x v="119"/>
    <x v="12"/>
    <x v="4"/>
    <x v="120"/>
    <n v="1"/>
    <n v="409"/>
    <x v="1"/>
  </r>
  <r>
    <x v="1"/>
    <x v="59"/>
    <x v="0"/>
    <x v="0"/>
    <x v="57"/>
    <n v="1"/>
    <n v="2475"/>
    <x v="1"/>
  </r>
  <r>
    <x v="1"/>
    <x v="24"/>
    <x v="3"/>
    <x v="0"/>
    <x v="24"/>
    <n v="1"/>
    <n v="1059"/>
    <x v="1"/>
  </r>
  <r>
    <x v="1"/>
    <x v="120"/>
    <x v="0"/>
    <x v="0"/>
    <x v="121"/>
    <n v="1"/>
    <n v="699"/>
    <x v="1"/>
  </r>
  <r>
    <x v="1"/>
    <x v="9"/>
    <x v="4"/>
    <x v="3"/>
    <x v="122"/>
    <n v="1"/>
    <n v="199"/>
    <x v="1"/>
  </r>
  <r>
    <x v="2"/>
    <x v="7"/>
    <x v="4"/>
    <x v="3"/>
    <x v="7"/>
    <n v="42"/>
    <n v="8557"/>
    <x v="1"/>
  </r>
  <r>
    <x v="2"/>
    <x v="49"/>
    <x v="5"/>
    <x v="3"/>
    <x v="47"/>
    <n v="41"/>
    <n v="10045"/>
    <x v="1"/>
  </r>
  <r>
    <x v="2"/>
    <x v="9"/>
    <x v="4"/>
    <x v="3"/>
    <x v="9"/>
    <n v="30"/>
    <n v="5970"/>
    <x v="1"/>
  </r>
  <r>
    <x v="2"/>
    <x v="102"/>
    <x v="11"/>
    <x v="2"/>
    <x v="100"/>
    <n v="19"/>
    <n v="7726.75"/>
    <x v="1"/>
  </r>
  <r>
    <x v="2"/>
    <x v="8"/>
    <x v="5"/>
    <x v="3"/>
    <x v="8"/>
    <n v="19"/>
    <n v="3980"/>
    <x v="1"/>
  </r>
  <r>
    <x v="2"/>
    <x v="12"/>
    <x v="4"/>
    <x v="3"/>
    <x v="12"/>
    <n v="16"/>
    <n v="3582"/>
    <x v="1"/>
  </r>
  <r>
    <x v="2"/>
    <x v="66"/>
    <x v="2"/>
    <x v="2"/>
    <x v="64"/>
    <n v="11"/>
    <n v="5489"/>
    <x v="1"/>
  </r>
  <r>
    <x v="2"/>
    <x v="33"/>
    <x v="3"/>
    <x v="0"/>
    <x v="33"/>
    <n v="7"/>
    <n v="2793"/>
    <x v="1"/>
  </r>
  <r>
    <x v="2"/>
    <x v="106"/>
    <x v="13"/>
    <x v="0"/>
    <x v="105"/>
    <n v="7"/>
    <n v="11192"/>
    <x v="1"/>
  </r>
  <r>
    <x v="2"/>
    <x v="104"/>
    <x v="12"/>
    <x v="4"/>
    <x v="102"/>
    <n v="6"/>
    <n v="3032"/>
    <x v="1"/>
  </r>
  <r>
    <x v="2"/>
    <x v="103"/>
    <x v="12"/>
    <x v="4"/>
    <x v="101"/>
    <n v="5"/>
    <n v="2334"/>
    <x v="1"/>
  </r>
  <r>
    <x v="2"/>
    <x v="16"/>
    <x v="6"/>
    <x v="0"/>
    <x v="16"/>
    <n v="4"/>
    <n v="3196"/>
    <x v="1"/>
  </r>
  <r>
    <x v="2"/>
    <x v="118"/>
    <x v="10"/>
    <x v="4"/>
    <x v="119"/>
    <n v="3"/>
    <n v="2697"/>
    <x v="1"/>
  </r>
  <r>
    <x v="2"/>
    <x v="10"/>
    <x v="3"/>
    <x v="0"/>
    <x v="10"/>
    <n v="3"/>
    <n v="2697"/>
    <x v="1"/>
  </r>
  <r>
    <x v="2"/>
    <x v="6"/>
    <x v="3"/>
    <x v="0"/>
    <x v="6"/>
    <n v="3"/>
    <n v="1647"/>
    <x v="1"/>
  </r>
  <r>
    <x v="2"/>
    <x v="121"/>
    <x v="12"/>
    <x v="4"/>
    <x v="123"/>
    <n v="2"/>
    <n v="818"/>
    <x v="1"/>
  </r>
  <r>
    <x v="2"/>
    <x v="9"/>
    <x v="4"/>
    <x v="3"/>
    <x v="122"/>
    <n v="2"/>
    <n v="397.39"/>
    <x v="1"/>
  </r>
  <r>
    <x v="2"/>
    <x v="108"/>
    <x v="12"/>
    <x v="4"/>
    <x v="107"/>
    <n v="1"/>
    <n v="819"/>
    <x v="1"/>
  </r>
  <r>
    <x v="2"/>
    <x v="117"/>
    <x v="10"/>
    <x v="4"/>
    <x v="118"/>
    <n v="1"/>
    <n v="899"/>
    <x v="1"/>
  </r>
  <r>
    <x v="2"/>
    <x v="110"/>
    <x v="12"/>
    <x v="4"/>
    <x v="110"/>
    <n v="1"/>
    <n v="441"/>
    <x v="1"/>
  </r>
  <r>
    <x v="2"/>
    <x v="110"/>
    <x v="12"/>
    <x v="4"/>
    <x v="109"/>
    <n v="1"/>
    <n v="379"/>
    <x v="1"/>
  </r>
  <r>
    <x v="2"/>
    <x v="103"/>
    <x v="12"/>
    <x v="4"/>
    <x v="111"/>
    <n v="1"/>
    <n v="0"/>
    <x v="1"/>
  </r>
  <r>
    <x v="2"/>
    <x v="20"/>
    <x v="3"/>
    <x v="0"/>
    <x v="20"/>
    <n v="1"/>
    <n v="749"/>
    <x v="1"/>
  </r>
  <r>
    <x v="2"/>
    <x v="120"/>
    <x v="0"/>
    <x v="0"/>
    <x v="121"/>
    <n v="1"/>
    <n v="699"/>
    <x v="1"/>
  </r>
  <r>
    <x v="2"/>
    <x v="105"/>
    <x v="12"/>
    <x v="4"/>
    <x v="103"/>
    <n v="1"/>
    <n v="379"/>
    <x v="1"/>
  </r>
  <r>
    <x v="2"/>
    <x v="92"/>
    <x v="3"/>
    <x v="0"/>
    <x v="90"/>
    <n v="1"/>
    <n v="1499"/>
    <x v="1"/>
  </r>
  <r>
    <x v="2"/>
    <x v="49"/>
    <x v="5"/>
    <x v="3"/>
    <x v="104"/>
    <n v="1"/>
    <n v="245"/>
    <x v="1"/>
  </r>
  <r>
    <x v="2"/>
    <x v="11"/>
    <x v="4"/>
    <x v="3"/>
    <x v="11"/>
    <n v="1"/>
    <n v="175"/>
    <x v="1"/>
  </r>
  <r>
    <x v="3"/>
    <x v="12"/>
    <x v="4"/>
    <x v="3"/>
    <x v="12"/>
    <n v="21"/>
    <n v="4179"/>
    <x v="1"/>
  </r>
  <r>
    <x v="3"/>
    <x v="9"/>
    <x v="4"/>
    <x v="3"/>
    <x v="9"/>
    <n v="19"/>
    <n v="3781"/>
    <x v="1"/>
  </r>
  <r>
    <x v="3"/>
    <x v="102"/>
    <x v="11"/>
    <x v="2"/>
    <x v="100"/>
    <n v="18"/>
    <n v="6597.5"/>
    <x v="1"/>
  </r>
  <r>
    <x v="3"/>
    <x v="8"/>
    <x v="5"/>
    <x v="3"/>
    <x v="8"/>
    <n v="18"/>
    <n v="3582"/>
    <x v="1"/>
  </r>
  <r>
    <x v="3"/>
    <x v="66"/>
    <x v="2"/>
    <x v="2"/>
    <x v="64"/>
    <n v="12"/>
    <n v="5988"/>
    <x v="1"/>
  </r>
  <r>
    <x v="3"/>
    <x v="49"/>
    <x v="5"/>
    <x v="3"/>
    <x v="47"/>
    <n v="12"/>
    <n v="3185"/>
    <x v="1"/>
  </r>
  <r>
    <x v="3"/>
    <x v="104"/>
    <x v="12"/>
    <x v="4"/>
    <x v="102"/>
    <n v="9"/>
    <n v="3032"/>
    <x v="1"/>
  </r>
  <r>
    <x v="3"/>
    <x v="103"/>
    <x v="12"/>
    <x v="4"/>
    <x v="101"/>
    <n v="7"/>
    <n v="2723"/>
    <x v="1"/>
  </r>
  <r>
    <x v="3"/>
    <x v="6"/>
    <x v="3"/>
    <x v="0"/>
    <x v="6"/>
    <n v="6"/>
    <n v="3843"/>
    <x v="1"/>
  </r>
  <r>
    <x v="3"/>
    <x v="7"/>
    <x v="4"/>
    <x v="3"/>
    <x v="7"/>
    <n v="6"/>
    <n v="1194"/>
    <x v="1"/>
  </r>
  <r>
    <x v="3"/>
    <x v="122"/>
    <x v="3"/>
    <x v="0"/>
    <x v="124"/>
    <n v="4"/>
    <n v="3725"/>
    <x v="1"/>
  </r>
  <r>
    <x v="3"/>
    <x v="59"/>
    <x v="0"/>
    <x v="0"/>
    <x v="57"/>
    <n v="3"/>
    <n v="7425"/>
    <x v="1"/>
  </r>
  <r>
    <x v="3"/>
    <x v="97"/>
    <x v="2"/>
    <x v="2"/>
    <x v="95"/>
    <n v="2"/>
    <n v="2598"/>
    <x v="1"/>
  </r>
  <r>
    <x v="3"/>
    <x v="108"/>
    <x v="12"/>
    <x v="4"/>
    <x v="107"/>
    <n v="2"/>
    <n v="1638"/>
    <x v="1"/>
  </r>
  <r>
    <x v="3"/>
    <x v="117"/>
    <x v="10"/>
    <x v="4"/>
    <x v="118"/>
    <n v="2"/>
    <n v="899"/>
    <x v="1"/>
  </r>
  <r>
    <x v="3"/>
    <x v="118"/>
    <x v="10"/>
    <x v="4"/>
    <x v="119"/>
    <n v="2"/>
    <n v="1798"/>
    <x v="1"/>
  </r>
  <r>
    <x v="3"/>
    <x v="10"/>
    <x v="3"/>
    <x v="0"/>
    <x v="10"/>
    <n v="2"/>
    <n v="1798"/>
    <x v="1"/>
  </r>
  <r>
    <x v="3"/>
    <x v="105"/>
    <x v="12"/>
    <x v="4"/>
    <x v="103"/>
    <n v="2"/>
    <n v="758"/>
    <x v="1"/>
  </r>
  <r>
    <x v="3"/>
    <x v="112"/>
    <x v="12"/>
    <x v="4"/>
    <x v="113"/>
    <n v="2"/>
    <n v="758"/>
    <x v="1"/>
  </r>
  <r>
    <x v="3"/>
    <x v="106"/>
    <x v="13"/>
    <x v="0"/>
    <x v="105"/>
    <n v="2"/>
    <n v="2998"/>
    <x v="1"/>
  </r>
  <r>
    <x v="3"/>
    <x v="114"/>
    <x v="9"/>
    <x v="0"/>
    <x v="115"/>
    <n v="2"/>
    <n v="2997"/>
    <x v="1"/>
  </r>
  <r>
    <x v="3"/>
    <x v="121"/>
    <x v="12"/>
    <x v="4"/>
    <x v="123"/>
    <n v="1"/>
    <n v="409"/>
    <x v="1"/>
  </r>
  <r>
    <x v="3"/>
    <x v="116"/>
    <x v="10"/>
    <x v="4"/>
    <x v="117"/>
    <n v="1"/>
    <n v="899"/>
    <x v="1"/>
  </r>
  <r>
    <x v="3"/>
    <x v="42"/>
    <x v="3"/>
    <x v="0"/>
    <x v="41"/>
    <n v="1"/>
    <n v="582"/>
    <x v="1"/>
  </r>
  <r>
    <x v="3"/>
    <x v="21"/>
    <x v="3"/>
    <x v="0"/>
    <x v="21"/>
    <n v="1"/>
    <n v="759"/>
    <x v="1"/>
  </r>
  <r>
    <x v="3"/>
    <x v="36"/>
    <x v="3"/>
    <x v="0"/>
    <x v="36"/>
    <n v="1"/>
    <n v="317"/>
    <x v="1"/>
  </r>
  <r>
    <x v="3"/>
    <x v="33"/>
    <x v="3"/>
    <x v="0"/>
    <x v="33"/>
    <n v="1"/>
    <n v="399"/>
    <x v="1"/>
  </r>
  <r>
    <x v="3"/>
    <x v="16"/>
    <x v="6"/>
    <x v="0"/>
    <x v="16"/>
    <n v="1"/>
    <n v="799"/>
    <x v="1"/>
  </r>
  <r>
    <x v="3"/>
    <x v="111"/>
    <x v="0"/>
    <x v="0"/>
    <x v="112"/>
    <n v="1"/>
    <n v="699"/>
    <x v="1"/>
  </r>
  <r>
    <x v="3"/>
    <x v="123"/>
    <x v="0"/>
    <x v="0"/>
    <x v="125"/>
    <n v="1"/>
    <n v="699"/>
    <x v="1"/>
  </r>
  <r>
    <x v="3"/>
    <x v="8"/>
    <x v="5"/>
    <x v="3"/>
    <x v="126"/>
    <n v="1"/>
    <n v="198.39"/>
    <x v="1"/>
  </r>
  <r>
    <x v="3"/>
    <x v="84"/>
    <x v="9"/>
    <x v="0"/>
    <x v="82"/>
    <n v="1"/>
    <n v="999"/>
    <x v="1"/>
  </r>
  <r>
    <x v="4"/>
    <x v="102"/>
    <x v="11"/>
    <x v="2"/>
    <x v="100"/>
    <n v="19"/>
    <n v="7357.75"/>
    <x v="1"/>
  </r>
  <r>
    <x v="4"/>
    <x v="8"/>
    <x v="5"/>
    <x v="3"/>
    <x v="8"/>
    <n v="18"/>
    <n v="3781"/>
    <x v="1"/>
  </r>
  <r>
    <x v="4"/>
    <x v="9"/>
    <x v="4"/>
    <x v="3"/>
    <x v="9"/>
    <n v="17"/>
    <n v="4179"/>
    <x v="1"/>
  </r>
  <r>
    <x v="4"/>
    <x v="12"/>
    <x v="4"/>
    <x v="3"/>
    <x v="12"/>
    <n v="17"/>
    <n v="3582"/>
    <x v="1"/>
  </r>
  <r>
    <x v="4"/>
    <x v="66"/>
    <x v="2"/>
    <x v="2"/>
    <x v="64"/>
    <n v="11"/>
    <n v="5489"/>
    <x v="1"/>
  </r>
  <r>
    <x v="4"/>
    <x v="7"/>
    <x v="4"/>
    <x v="3"/>
    <x v="7"/>
    <n v="8"/>
    <n v="1791"/>
    <x v="1"/>
  </r>
  <r>
    <x v="4"/>
    <x v="104"/>
    <x v="12"/>
    <x v="4"/>
    <x v="102"/>
    <n v="7"/>
    <n v="2653"/>
    <x v="1"/>
  </r>
  <r>
    <x v="4"/>
    <x v="6"/>
    <x v="3"/>
    <x v="0"/>
    <x v="6"/>
    <n v="5"/>
    <n v="2745"/>
    <x v="1"/>
  </r>
  <r>
    <x v="4"/>
    <x v="49"/>
    <x v="5"/>
    <x v="3"/>
    <x v="47"/>
    <n v="5"/>
    <n v="1225"/>
    <x v="1"/>
  </r>
  <r>
    <x v="4"/>
    <x v="118"/>
    <x v="10"/>
    <x v="4"/>
    <x v="119"/>
    <n v="4"/>
    <n v="2697"/>
    <x v="1"/>
  </r>
  <r>
    <x v="4"/>
    <x v="103"/>
    <x v="12"/>
    <x v="4"/>
    <x v="101"/>
    <n v="4"/>
    <n v="1945"/>
    <x v="1"/>
  </r>
  <r>
    <x v="4"/>
    <x v="106"/>
    <x v="13"/>
    <x v="0"/>
    <x v="105"/>
    <n v="4"/>
    <n v="5996"/>
    <x v="1"/>
  </r>
  <r>
    <x v="4"/>
    <x v="117"/>
    <x v="10"/>
    <x v="4"/>
    <x v="118"/>
    <n v="3"/>
    <n v="2697"/>
    <x v="1"/>
  </r>
  <r>
    <x v="4"/>
    <x v="113"/>
    <x v="9"/>
    <x v="0"/>
    <x v="114"/>
    <n v="3"/>
    <n v="6993"/>
    <x v="1"/>
  </r>
  <r>
    <x v="4"/>
    <x v="124"/>
    <x v="10"/>
    <x v="4"/>
    <x v="127"/>
    <n v="2"/>
    <n v="775"/>
    <x v="1"/>
  </r>
  <r>
    <x v="4"/>
    <x v="4"/>
    <x v="2"/>
    <x v="2"/>
    <x v="128"/>
    <n v="2"/>
    <n v="1750"/>
    <x v="1"/>
  </r>
  <r>
    <x v="4"/>
    <x v="110"/>
    <x v="12"/>
    <x v="4"/>
    <x v="109"/>
    <n v="2"/>
    <n v="758"/>
    <x v="1"/>
  </r>
  <r>
    <x v="4"/>
    <x v="21"/>
    <x v="3"/>
    <x v="0"/>
    <x v="21"/>
    <n v="2"/>
    <n v="1518"/>
    <x v="1"/>
  </r>
  <r>
    <x v="4"/>
    <x v="16"/>
    <x v="6"/>
    <x v="0"/>
    <x v="16"/>
    <n v="2"/>
    <n v="2397"/>
    <x v="1"/>
  </r>
  <r>
    <x v="4"/>
    <x v="97"/>
    <x v="2"/>
    <x v="2"/>
    <x v="95"/>
    <n v="1"/>
    <n v="1299"/>
    <x v="1"/>
  </r>
  <r>
    <x v="4"/>
    <x v="110"/>
    <x v="12"/>
    <x v="4"/>
    <x v="110"/>
    <n v="1"/>
    <n v="441"/>
    <x v="1"/>
  </r>
  <r>
    <x v="4"/>
    <x v="23"/>
    <x v="3"/>
    <x v="0"/>
    <x v="23"/>
    <n v="1"/>
    <n v="549"/>
    <x v="1"/>
  </r>
  <r>
    <x v="4"/>
    <x v="10"/>
    <x v="3"/>
    <x v="0"/>
    <x v="10"/>
    <n v="1"/>
    <n v="899"/>
    <x v="1"/>
  </r>
  <r>
    <x v="4"/>
    <x v="20"/>
    <x v="3"/>
    <x v="0"/>
    <x v="20"/>
    <n v="1"/>
    <n v="749"/>
    <x v="1"/>
  </r>
  <r>
    <x v="4"/>
    <x v="18"/>
    <x v="3"/>
    <x v="0"/>
    <x v="18"/>
    <n v="1"/>
    <n v="374.29"/>
    <x v="1"/>
  </r>
  <r>
    <x v="4"/>
    <x v="29"/>
    <x v="3"/>
    <x v="0"/>
    <x v="29"/>
    <n v="1"/>
    <n v="370"/>
    <x v="1"/>
  </r>
  <r>
    <x v="4"/>
    <x v="120"/>
    <x v="0"/>
    <x v="0"/>
    <x v="121"/>
    <n v="1"/>
    <n v="699"/>
    <x v="1"/>
  </r>
  <r>
    <x v="4"/>
    <x v="105"/>
    <x v="12"/>
    <x v="4"/>
    <x v="103"/>
    <n v="1"/>
    <n v="379"/>
    <x v="1"/>
  </r>
  <r>
    <x v="4"/>
    <x v="112"/>
    <x v="12"/>
    <x v="4"/>
    <x v="113"/>
    <n v="1"/>
    <n v="379"/>
    <x v="1"/>
  </r>
  <r>
    <x v="4"/>
    <x v="114"/>
    <x v="9"/>
    <x v="0"/>
    <x v="115"/>
    <n v="1"/>
    <n v="1998"/>
    <x v="1"/>
  </r>
  <r>
    <x v="0"/>
    <x v="12"/>
    <x v="14"/>
    <x v="5"/>
    <x v="129"/>
    <n v="1"/>
    <n v="234.01"/>
    <x v="2"/>
  </r>
  <r>
    <x v="0"/>
    <x v="49"/>
    <x v="15"/>
    <x v="5"/>
    <x v="130"/>
    <n v="1"/>
    <n v="293.01"/>
    <x v="2"/>
  </r>
  <r>
    <x v="0"/>
    <x v="2"/>
    <x v="16"/>
    <x v="0"/>
    <x v="131"/>
    <n v="1"/>
    <n v="1749"/>
    <x v="2"/>
  </r>
  <r>
    <x v="0"/>
    <x v="7"/>
    <x v="17"/>
    <x v="5"/>
    <x v="132"/>
    <n v="1"/>
    <n v="234.01"/>
    <x v="2"/>
  </r>
  <r>
    <x v="0"/>
    <x v="49"/>
    <x v="15"/>
    <x v="5"/>
    <x v="130"/>
    <n v="1"/>
    <n v="293.01"/>
    <x v="2"/>
  </r>
  <r>
    <x v="0"/>
    <x v="0"/>
    <x v="16"/>
    <x v="0"/>
    <x v="133"/>
    <n v="1"/>
    <n v="1749"/>
    <x v="2"/>
  </r>
  <r>
    <x v="0"/>
    <x v="8"/>
    <x v="18"/>
    <x v="5"/>
    <x v="134"/>
    <n v="1"/>
    <n v="234.01"/>
    <x v="2"/>
  </r>
  <r>
    <x v="0"/>
    <x v="11"/>
    <x v="19"/>
    <x v="5"/>
    <x v="135"/>
    <n v="1"/>
    <n v="211"/>
    <x v="2"/>
  </r>
  <r>
    <x v="0"/>
    <x v="12"/>
    <x v="14"/>
    <x v="5"/>
    <x v="129"/>
    <n v="1"/>
    <n v="234.01"/>
    <x v="2"/>
  </r>
  <r>
    <x v="0"/>
    <x v="49"/>
    <x v="15"/>
    <x v="5"/>
    <x v="130"/>
    <n v="1"/>
    <n v="293.01"/>
    <x v="2"/>
  </r>
  <r>
    <x v="0"/>
    <x v="7"/>
    <x v="17"/>
    <x v="5"/>
    <x v="132"/>
    <n v="1"/>
    <n v="234.01"/>
    <x v="2"/>
  </r>
  <r>
    <x v="0"/>
    <x v="5"/>
    <x v="16"/>
    <x v="0"/>
    <x v="136"/>
    <n v="1"/>
    <n v="2575"/>
    <x v="2"/>
  </r>
  <r>
    <x v="0"/>
    <x v="12"/>
    <x v="14"/>
    <x v="5"/>
    <x v="129"/>
    <n v="1"/>
    <n v="234.01"/>
    <x v="2"/>
  </r>
  <r>
    <x v="0"/>
    <x v="5"/>
    <x v="16"/>
    <x v="0"/>
    <x v="136"/>
    <n v="1"/>
    <n v="2575"/>
    <x v="2"/>
  </r>
  <r>
    <x v="0"/>
    <x v="7"/>
    <x v="17"/>
    <x v="5"/>
    <x v="132"/>
    <n v="1"/>
    <n v="234.01"/>
    <x v="2"/>
  </r>
  <r>
    <x v="0"/>
    <x v="11"/>
    <x v="19"/>
    <x v="5"/>
    <x v="135"/>
    <n v="1"/>
    <n v="211"/>
    <x v="2"/>
  </r>
  <r>
    <x v="0"/>
    <x v="8"/>
    <x v="18"/>
    <x v="5"/>
    <x v="134"/>
    <n v="1"/>
    <n v="234.01"/>
    <x v="2"/>
  </r>
  <r>
    <x v="0"/>
    <x v="11"/>
    <x v="19"/>
    <x v="5"/>
    <x v="135"/>
    <n v="1"/>
    <n v="211"/>
    <x v="2"/>
  </r>
  <r>
    <x v="0"/>
    <x v="5"/>
    <x v="16"/>
    <x v="0"/>
    <x v="136"/>
    <n v="1"/>
    <n v="2575"/>
    <x v="2"/>
  </r>
  <r>
    <x v="0"/>
    <x v="12"/>
    <x v="14"/>
    <x v="5"/>
    <x v="129"/>
    <n v="1"/>
    <n v="234.01"/>
    <x v="2"/>
  </r>
  <r>
    <x v="0"/>
    <x v="8"/>
    <x v="18"/>
    <x v="5"/>
    <x v="134"/>
    <n v="1"/>
    <n v="234.01"/>
    <x v="2"/>
  </r>
  <r>
    <x v="0"/>
    <x v="7"/>
    <x v="17"/>
    <x v="5"/>
    <x v="132"/>
    <n v="1"/>
    <n v="234.01"/>
    <x v="2"/>
  </r>
  <r>
    <x v="0"/>
    <x v="11"/>
    <x v="19"/>
    <x v="5"/>
    <x v="135"/>
    <n v="1"/>
    <n v="211"/>
    <x v="2"/>
  </r>
  <r>
    <x v="0"/>
    <x v="8"/>
    <x v="18"/>
    <x v="5"/>
    <x v="134"/>
    <n v="1"/>
    <n v="234.01"/>
    <x v="2"/>
  </r>
  <r>
    <x v="0"/>
    <x v="8"/>
    <x v="18"/>
    <x v="5"/>
    <x v="134"/>
    <n v="1"/>
    <n v="234.01"/>
    <x v="2"/>
  </r>
  <r>
    <x v="0"/>
    <x v="8"/>
    <x v="18"/>
    <x v="5"/>
    <x v="134"/>
    <n v="1"/>
    <n v="234.01"/>
    <x v="2"/>
  </r>
  <r>
    <x v="0"/>
    <x v="7"/>
    <x v="17"/>
    <x v="5"/>
    <x v="132"/>
    <n v="1"/>
    <n v="234.01"/>
    <x v="2"/>
  </r>
  <r>
    <x v="0"/>
    <x v="49"/>
    <x v="15"/>
    <x v="5"/>
    <x v="130"/>
    <n v="1"/>
    <n v="293.01"/>
    <x v="2"/>
  </r>
  <r>
    <x v="0"/>
    <x v="11"/>
    <x v="19"/>
    <x v="5"/>
    <x v="135"/>
    <n v="1"/>
    <n v="211"/>
    <x v="2"/>
  </r>
  <r>
    <x v="0"/>
    <x v="12"/>
    <x v="14"/>
    <x v="5"/>
    <x v="129"/>
    <n v="1"/>
    <n v="234.01"/>
    <x v="2"/>
  </r>
  <r>
    <x v="0"/>
    <x v="0"/>
    <x v="16"/>
    <x v="0"/>
    <x v="133"/>
    <n v="1"/>
    <n v="1749"/>
    <x v="2"/>
  </r>
  <r>
    <x v="0"/>
    <x v="7"/>
    <x v="17"/>
    <x v="5"/>
    <x v="132"/>
    <n v="1"/>
    <n v="234.01"/>
    <x v="2"/>
  </r>
  <r>
    <x v="0"/>
    <x v="7"/>
    <x v="17"/>
    <x v="5"/>
    <x v="132"/>
    <n v="1"/>
    <n v="234.01"/>
    <x v="2"/>
  </r>
  <r>
    <x v="0"/>
    <x v="9"/>
    <x v="20"/>
    <x v="5"/>
    <x v="137"/>
    <n v="1"/>
    <n v="234.01"/>
    <x v="2"/>
  </r>
  <r>
    <x v="0"/>
    <x v="9"/>
    <x v="20"/>
    <x v="5"/>
    <x v="137"/>
    <n v="1"/>
    <n v="234.01"/>
    <x v="2"/>
  </r>
  <r>
    <x v="0"/>
    <x v="12"/>
    <x v="14"/>
    <x v="5"/>
    <x v="129"/>
    <n v="1"/>
    <n v="234.01"/>
    <x v="2"/>
  </r>
  <r>
    <x v="0"/>
    <x v="8"/>
    <x v="18"/>
    <x v="5"/>
    <x v="134"/>
    <n v="1"/>
    <n v="234.01"/>
    <x v="2"/>
  </r>
  <r>
    <x v="0"/>
    <x v="1"/>
    <x v="16"/>
    <x v="0"/>
    <x v="138"/>
    <n v="1"/>
    <n v="1975"/>
    <x v="2"/>
  </r>
  <r>
    <x v="0"/>
    <x v="0"/>
    <x v="16"/>
    <x v="0"/>
    <x v="133"/>
    <n v="1"/>
    <n v="1749"/>
    <x v="2"/>
  </r>
  <r>
    <x v="0"/>
    <x v="8"/>
    <x v="18"/>
    <x v="5"/>
    <x v="134"/>
    <n v="1"/>
    <n v="234.01"/>
    <x v="2"/>
  </r>
  <r>
    <x v="0"/>
    <x v="9"/>
    <x v="20"/>
    <x v="5"/>
    <x v="137"/>
    <n v="1"/>
    <n v="234.01"/>
    <x v="2"/>
  </r>
  <r>
    <x v="0"/>
    <x v="49"/>
    <x v="15"/>
    <x v="5"/>
    <x v="130"/>
    <n v="1"/>
    <n v="293.01"/>
    <x v="2"/>
  </r>
  <r>
    <x v="0"/>
    <x v="0"/>
    <x v="16"/>
    <x v="0"/>
    <x v="133"/>
    <n v="1"/>
    <n v="1749"/>
    <x v="2"/>
  </r>
  <r>
    <x v="0"/>
    <x v="49"/>
    <x v="15"/>
    <x v="5"/>
    <x v="130"/>
    <n v="1"/>
    <n v="293.01"/>
    <x v="2"/>
  </r>
  <r>
    <x v="0"/>
    <x v="9"/>
    <x v="20"/>
    <x v="5"/>
    <x v="137"/>
    <n v="1"/>
    <n v="234.01"/>
    <x v="2"/>
  </r>
  <r>
    <x v="0"/>
    <x v="9"/>
    <x v="20"/>
    <x v="5"/>
    <x v="137"/>
    <n v="1"/>
    <n v="234.01"/>
    <x v="2"/>
  </r>
  <r>
    <x v="0"/>
    <x v="12"/>
    <x v="14"/>
    <x v="5"/>
    <x v="129"/>
    <n v="1"/>
    <n v="234.01"/>
    <x v="2"/>
  </r>
  <r>
    <x v="0"/>
    <x v="9"/>
    <x v="20"/>
    <x v="5"/>
    <x v="137"/>
    <n v="1"/>
    <n v="234.01"/>
    <x v="2"/>
  </r>
  <r>
    <x v="0"/>
    <x v="11"/>
    <x v="19"/>
    <x v="5"/>
    <x v="135"/>
    <n v="1"/>
    <n v="211"/>
    <x v="2"/>
  </r>
  <r>
    <x v="0"/>
    <x v="0"/>
    <x v="16"/>
    <x v="0"/>
    <x v="133"/>
    <n v="1"/>
    <n v="1749"/>
    <x v="2"/>
  </r>
  <r>
    <x v="0"/>
    <x v="49"/>
    <x v="15"/>
    <x v="5"/>
    <x v="130"/>
    <n v="1"/>
    <n v="293.01"/>
    <x v="2"/>
  </r>
  <r>
    <x v="0"/>
    <x v="49"/>
    <x v="15"/>
    <x v="5"/>
    <x v="130"/>
    <n v="1"/>
    <n v="293.01"/>
    <x v="2"/>
  </r>
  <r>
    <x v="0"/>
    <x v="9"/>
    <x v="20"/>
    <x v="5"/>
    <x v="137"/>
    <n v="1"/>
    <n v="234.01"/>
    <x v="2"/>
  </r>
  <r>
    <x v="0"/>
    <x v="8"/>
    <x v="18"/>
    <x v="5"/>
    <x v="134"/>
    <n v="1"/>
    <n v="234.01"/>
    <x v="2"/>
  </r>
  <r>
    <x v="0"/>
    <x v="9"/>
    <x v="20"/>
    <x v="5"/>
    <x v="137"/>
    <n v="1"/>
    <n v="234.01"/>
    <x v="2"/>
  </r>
  <r>
    <x v="0"/>
    <x v="12"/>
    <x v="14"/>
    <x v="5"/>
    <x v="129"/>
    <n v="1"/>
    <n v="234.01"/>
    <x v="2"/>
  </r>
  <r>
    <x v="0"/>
    <x v="7"/>
    <x v="17"/>
    <x v="5"/>
    <x v="132"/>
    <n v="1"/>
    <n v="234.01"/>
    <x v="2"/>
  </r>
  <r>
    <x v="0"/>
    <x v="7"/>
    <x v="17"/>
    <x v="5"/>
    <x v="132"/>
    <n v="1"/>
    <n v="234.01"/>
    <x v="2"/>
  </r>
  <r>
    <x v="0"/>
    <x v="11"/>
    <x v="19"/>
    <x v="5"/>
    <x v="135"/>
    <n v="1"/>
    <n v="211"/>
    <x v="2"/>
  </r>
  <r>
    <x v="0"/>
    <x v="0"/>
    <x v="16"/>
    <x v="0"/>
    <x v="133"/>
    <n v="1"/>
    <n v="1749"/>
    <x v="2"/>
  </r>
  <r>
    <x v="0"/>
    <x v="8"/>
    <x v="18"/>
    <x v="5"/>
    <x v="134"/>
    <n v="1"/>
    <n v="234.01"/>
    <x v="2"/>
  </r>
  <r>
    <x v="0"/>
    <x v="11"/>
    <x v="19"/>
    <x v="5"/>
    <x v="135"/>
    <n v="1"/>
    <n v="211"/>
    <x v="2"/>
  </r>
  <r>
    <x v="0"/>
    <x v="9"/>
    <x v="20"/>
    <x v="5"/>
    <x v="137"/>
    <n v="1"/>
    <n v="234.01"/>
    <x v="2"/>
  </r>
  <r>
    <x v="0"/>
    <x v="8"/>
    <x v="18"/>
    <x v="5"/>
    <x v="134"/>
    <n v="1"/>
    <n v="234.01"/>
    <x v="2"/>
  </r>
  <r>
    <x v="0"/>
    <x v="0"/>
    <x v="16"/>
    <x v="0"/>
    <x v="133"/>
    <n v="1"/>
    <n v="1749"/>
    <x v="2"/>
  </r>
  <r>
    <x v="0"/>
    <x v="9"/>
    <x v="20"/>
    <x v="5"/>
    <x v="137"/>
    <n v="1"/>
    <n v="234.01"/>
    <x v="2"/>
  </r>
  <r>
    <x v="0"/>
    <x v="12"/>
    <x v="14"/>
    <x v="5"/>
    <x v="129"/>
    <n v="1"/>
    <n v="234.01"/>
    <x v="2"/>
  </r>
  <r>
    <x v="0"/>
    <x v="7"/>
    <x v="17"/>
    <x v="5"/>
    <x v="132"/>
    <n v="1"/>
    <n v="234.01"/>
    <x v="2"/>
  </r>
  <r>
    <x v="0"/>
    <x v="5"/>
    <x v="16"/>
    <x v="0"/>
    <x v="136"/>
    <n v="1"/>
    <n v="2575"/>
    <x v="2"/>
  </r>
  <r>
    <x v="0"/>
    <x v="49"/>
    <x v="15"/>
    <x v="5"/>
    <x v="130"/>
    <n v="1"/>
    <n v="293.01"/>
    <x v="2"/>
  </r>
  <r>
    <x v="0"/>
    <x v="12"/>
    <x v="14"/>
    <x v="5"/>
    <x v="129"/>
    <n v="1"/>
    <n v="234.01"/>
    <x v="2"/>
  </r>
  <r>
    <x v="0"/>
    <x v="49"/>
    <x v="15"/>
    <x v="5"/>
    <x v="130"/>
    <n v="1"/>
    <n v="293.01"/>
    <x v="2"/>
  </r>
  <r>
    <x v="0"/>
    <x v="49"/>
    <x v="15"/>
    <x v="5"/>
    <x v="130"/>
    <n v="1"/>
    <n v="293.01"/>
    <x v="2"/>
  </r>
  <r>
    <x v="0"/>
    <x v="9"/>
    <x v="20"/>
    <x v="5"/>
    <x v="137"/>
    <n v="1"/>
    <n v="234.01"/>
    <x v="2"/>
  </r>
  <r>
    <x v="0"/>
    <x v="8"/>
    <x v="18"/>
    <x v="5"/>
    <x v="134"/>
    <n v="1"/>
    <n v="234.01"/>
    <x v="2"/>
  </r>
  <r>
    <x v="0"/>
    <x v="49"/>
    <x v="15"/>
    <x v="5"/>
    <x v="130"/>
    <n v="1"/>
    <n v="293.01"/>
    <x v="2"/>
  </r>
  <r>
    <x v="0"/>
    <x v="25"/>
    <x v="16"/>
    <x v="0"/>
    <x v="139"/>
    <n v="1"/>
    <n v="1975"/>
    <x v="2"/>
  </r>
  <r>
    <x v="0"/>
    <x v="11"/>
    <x v="19"/>
    <x v="5"/>
    <x v="135"/>
    <n v="1"/>
    <n v="211"/>
    <x v="2"/>
  </r>
  <r>
    <x v="0"/>
    <x v="49"/>
    <x v="15"/>
    <x v="5"/>
    <x v="130"/>
    <n v="1"/>
    <n v="293.01"/>
    <x v="2"/>
  </r>
  <r>
    <x v="0"/>
    <x v="49"/>
    <x v="15"/>
    <x v="5"/>
    <x v="130"/>
    <n v="1"/>
    <n v="293.01"/>
    <x v="2"/>
  </r>
  <r>
    <x v="0"/>
    <x v="11"/>
    <x v="19"/>
    <x v="5"/>
    <x v="135"/>
    <n v="1"/>
    <n v="211"/>
    <x v="2"/>
  </r>
  <r>
    <x v="0"/>
    <x v="7"/>
    <x v="17"/>
    <x v="5"/>
    <x v="132"/>
    <n v="1"/>
    <n v="234.01"/>
    <x v="2"/>
  </r>
  <r>
    <x v="0"/>
    <x v="7"/>
    <x v="17"/>
    <x v="5"/>
    <x v="132"/>
    <n v="1"/>
    <n v="234.01"/>
    <x v="2"/>
  </r>
  <r>
    <x v="0"/>
    <x v="11"/>
    <x v="19"/>
    <x v="5"/>
    <x v="135"/>
    <n v="1"/>
    <n v="211"/>
    <x v="2"/>
  </r>
  <r>
    <x v="0"/>
    <x v="8"/>
    <x v="18"/>
    <x v="5"/>
    <x v="134"/>
    <n v="1"/>
    <n v="234.01"/>
    <x v="2"/>
  </r>
  <r>
    <x v="0"/>
    <x v="12"/>
    <x v="14"/>
    <x v="5"/>
    <x v="129"/>
    <n v="1"/>
    <n v="234.01"/>
    <x v="2"/>
  </r>
  <r>
    <x v="0"/>
    <x v="7"/>
    <x v="17"/>
    <x v="5"/>
    <x v="132"/>
    <n v="1"/>
    <n v="234.01"/>
    <x v="2"/>
  </r>
  <r>
    <x v="0"/>
    <x v="11"/>
    <x v="19"/>
    <x v="5"/>
    <x v="135"/>
    <n v="1"/>
    <n v="211"/>
    <x v="2"/>
  </r>
  <r>
    <x v="0"/>
    <x v="0"/>
    <x v="16"/>
    <x v="0"/>
    <x v="133"/>
    <n v="1"/>
    <n v="1749"/>
    <x v="2"/>
  </r>
  <r>
    <x v="0"/>
    <x v="11"/>
    <x v="19"/>
    <x v="5"/>
    <x v="135"/>
    <n v="1"/>
    <n v="211"/>
    <x v="2"/>
  </r>
  <r>
    <x v="0"/>
    <x v="12"/>
    <x v="14"/>
    <x v="5"/>
    <x v="129"/>
    <n v="1"/>
    <n v="234.01"/>
    <x v="2"/>
  </r>
  <r>
    <x v="0"/>
    <x v="12"/>
    <x v="14"/>
    <x v="5"/>
    <x v="129"/>
    <n v="1"/>
    <n v="234.01"/>
    <x v="2"/>
  </r>
  <r>
    <x v="0"/>
    <x v="12"/>
    <x v="14"/>
    <x v="5"/>
    <x v="129"/>
    <n v="1"/>
    <n v="234.01"/>
    <x v="2"/>
  </r>
  <r>
    <x v="0"/>
    <x v="49"/>
    <x v="15"/>
    <x v="5"/>
    <x v="130"/>
    <n v="1"/>
    <n v="293.01"/>
    <x v="2"/>
  </r>
  <r>
    <x v="0"/>
    <x v="8"/>
    <x v="18"/>
    <x v="5"/>
    <x v="134"/>
    <n v="1"/>
    <n v="234.01"/>
    <x v="2"/>
  </r>
  <r>
    <x v="0"/>
    <x v="9"/>
    <x v="20"/>
    <x v="5"/>
    <x v="137"/>
    <n v="1"/>
    <n v="234.01"/>
    <x v="2"/>
  </r>
  <r>
    <x v="1"/>
    <x v="8"/>
    <x v="18"/>
    <x v="5"/>
    <x v="134"/>
    <n v="1"/>
    <n v="234.01"/>
    <x v="2"/>
  </r>
  <r>
    <x v="1"/>
    <x v="25"/>
    <x v="16"/>
    <x v="0"/>
    <x v="139"/>
    <n v="1"/>
    <n v="1975"/>
    <x v="2"/>
  </r>
  <r>
    <x v="1"/>
    <x v="5"/>
    <x v="16"/>
    <x v="0"/>
    <x v="136"/>
    <n v="1"/>
    <n v="2575"/>
    <x v="2"/>
  </r>
  <r>
    <x v="1"/>
    <x v="49"/>
    <x v="15"/>
    <x v="5"/>
    <x v="130"/>
    <n v="1"/>
    <n v="293.01"/>
    <x v="2"/>
  </r>
  <r>
    <x v="1"/>
    <x v="0"/>
    <x v="16"/>
    <x v="0"/>
    <x v="133"/>
    <n v="1"/>
    <n v="1749"/>
    <x v="2"/>
  </r>
  <r>
    <x v="1"/>
    <x v="7"/>
    <x v="17"/>
    <x v="5"/>
    <x v="132"/>
    <n v="1"/>
    <n v="234.01"/>
    <x v="2"/>
  </r>
  <r>
    <x v="1"/>
    <x v="12"/>
    <x v="14"/>
    <x v="5"/>
    <x v="129"/>
    <n v="1"/>
    <n v="234.01"/>
    <x v="2"/>
  </r>
  <r>
    <x v="1"/>
    <x v="1"/>
    <x v="16"/>
    <x v="0"/>
    <x v="138"/>
    <n v="1"/>
    <n v="1975"/>
    <x v="2"/>
  </r>
  <r>
    <x v="1"/>
    <x v="0"/>
    <x v="16"/>
    <x v="0"/>
    <x v="133"/>
    <n v="1"/>
    <n v="1749"/>
    <x v="2"/>
  </r>
  <r>
    <x v="1"/>
    <x v="10"/>
    <x v="21"/>
    <x v="0"/>
    <x v="140"/>
    <n v="1"/>
    <n v="1199"/>
    <x v="2"/>
  </r>
  <r>
    <x v="1"/>
    <x v="9"/>
    <x v="20"/>
    <x v="5"/>
    <x v="137"/>
    <n v="1"/>
    <n v="234.01"/>
    <x v="2"/>
  </r>
  <r>
    <x v="1"/>
    <x v="5"/>
    <x v="16"/>
    <x v="0"/>
    <x v="136"/>
    <n v="1"/>
    <n v="2575"/>
    <x v="2"/>
  </r>
  <r>
    <x v="1"/>
    <x v="5"/>
    <x v="16"/>
    <x v="0"/>
    <x v="136"/>
    <n v="1"/>
    <n v="2575"/>
    <x v="2"/>
  </r>
  <r>
    <x v="1"/>
    <x v="11"/>
    <x v="19"/>
    <x v="5"/>
    <x v="135"/>
    <n v="1"/>
    <n v="211"/>
    <x v="2"/>
  </r>
  <r>
    <x v="1"/>
    <x v="61"/>
    <x v="16"/>
    <x v="0"/>
    <x v="141"/>
    <n v="1"/>
    <n v="2575"/>
    <x v="2"/>
  </r>
  <r>
    <x v="1"/>
    <x v="10"/>
    <x v="21"/>
    <x v="0"/>
    <x v="140"/>
    <n v="1"/>
    <n v="1199"/>
    <x v="2"/>
  </r>
  <r>
    <x v="2"/>
    <x v="61"/>
    <x v="16"/>
    <x v="0"/>
    <x v="141"/>
    <n v="1"/>
    <n v="2575"/>
    <x v="2"/>
  </r>
  <r>
    <x v="2"/>
    <x v="61"/>
    <x v="16"/>
    <x v="0"/>
    <x v="141"/>
    <n v="1"/>
    <n v="2575"/>
    <x v="2"/>
  </r>
  <r>
    <x v="2"/>
    <x v="49"/>
    <x v="15"/>
    <x v="5"/>
    <x v="130"/>
    <n v="1"/>
    <n v="293.01"/>
    <x v="2"/>
  </r>
  <r>
    <x v="2"/>
    <x v="5"/>
    <x v="16"/>
    <x v="0"/>
    <x v="136"/>
    <n v="1"/>
    <n v="2575"/>
    <x v="2"/>
  </r>
  <r>
    <x v="2"/>
    <x v="12"/>
    <x v="14"/>
    <x v="5"/>
    <x v="129"/>
    <n v="1"/>
    <n v="234.01"/>
    <x v="2"/>
  </r>
  <r>
    <x v="2"/>
    <x v="0"/>
    <x v="16"/>
    <x v="0"/>
    <x v="133"/>
    <n v="1"/>
    <n v="1749"/>
    <x v="2"/>
  </r>
  <r>
    <x v="2"/>
    <x v="0"/>
    <x v="16"/>
    <x v="0"/>
    <x v="133"/>
    <n v="1"/>
    <n v="1749"/>
    <x v="2"/>
  </r>
  <r>
    <x v="2"/>
    <x v="61"/>
    <x v="16"/>
    <x v="0"/>
    <x v="141"/>
    <n v="1"/>
    <n v="2575"/>
    <x v="2"/>
  </r>
  <r>
    <x v="2"/>
    <x v="9"/>
    <x v="20"/>
    <x v="5"/>
    <x v="137"/>
    <n v="1"/>
    <n v="234.01"/>
    <x v="2"/>
  </r>
  <r>
    <x v="2"/>
    <x v="49"/>
    <x v="15"/>
    <x v="5"/>
    <x v="130"/>
    <n v="1"/>
    <n v="293.01"/>
    <x v="2"/>
  </r>
  <r>
    <x v="2"/>
    <x v="25"/>
    <x v="16"/>
    <x v="0"/>
    <x v="139"/>
    <n v="1"/>
    <n v="1975"/>
    <x v="2"/>
  </r>
  <r>
    <x v="3"/>
    <x v="25"/>
    <x v="16"/>
    <x v="0"/>
    <x v="139"/>
    <n v="1"/>
    <n v="1975"/>
    <x v="2"/>
  </r>
  <r>
    <x v="3"/>
    <x v="15"/>
    <x v="16"/>
    <x v="0"/>
    <x v="142"/>
    <n v="1"/>
    <n v="1975"/>
    <x v="2"/>
  </r>
  <r>
    <x v="3"/>
    <x v="5"/>
    <x v="16"/>
    <x v="0"/>
    <x v="136"/>
    <n v="1"/>
    <n v="2575"/>
    <x v="2"/>
  </r>
  <r>
    <x v="3"/>
    <x v="1"/>
    <x v="16"/>
    <x v="0"/>
    <x v="138"/>
    <n v="1"/>
    <n v="1975"/>
    <x v="2"/>
  </r>
  <r>
    <x v="3"/>
    <x v="0"/>
    <x v="16"/>
    <x v="0"/>
    <x v="133"/>
    <n v="1"/>
    <n v="1749"/>
    <x v="2"/>
  </r>
  <r>
    <x v="3"/>
    <x v="0"/>
    <x v="16"/>
    <x v="0"/>
    <x v="133"/>
    <n v="1"/>
    <n v="1749"/>
    <x v="2"/>
  </r>
  <r>
    <x v="3"/>
    <x v="0"/>
    <x v="16"/>
    <x v="0"/>
    <x v="133"/>
    <n v="1"/>
    <n v="1749"/>
    <x v="2"/>
  </r>
  <r>
    <x v="3"/>
    <x v="5"/>
    <x v="16"/>
    <x v="0"/>
    <x v="136"/>
    <n v="1"/>
    <n v="2575"/>
    <x v="2"/>
  </r>
  <r>
    <x v="3"/>
    <x v="5"/>
    <x v="16"/>
    <x v="0"/>
    <x v="136"/>
    <n v="1"/>
    <n v="2575"/>
    <x v="2"/>
  </r>
  <r>
    <x v="3"/>
    <x v="61"/>
    <x v="16"/>
    <x v="0"/>
    <x v="141"/>
    <n v="1"/>
    <n v="2575"/>
    <x v="2"/>
  </r>
  <r>
    <x v="3"/>
    <x v="61"/>
    <x v="16"/>
    <x v="0"/>
    <x v="141"/>
    <n v="1"/>
    <n v="2575"/>
    <x v="2"/>
  </r>
  <r>
    <x v="4"/>
    <x v="5"/>
    <x v="16"/>
    <x v="0"/>
    <x v="136"/>
    <n v="1"/>
    <n v="2575"/>
    <x v="2"/>
  </r>
  <r>
    <x v="4"/>
    <x v="9"/>
    <x v="20"/>
    <x v="5"/>
    <x v="137"/>
    <n v="1"/>
    <n v="234.01"/>
    <x v="2"/>
  </r>
  <r>
    <x v="4"/>
    <x v="0"/>
    <x v="16"/>
    <x v="0"/>
    <x v="133"/>
    <n v="1"/>
    <n v="1749"/>
    <x v="2"/>
  </r>
  <r>
    <x v="4"/>
    <x v="25"/>
    <x v="16"/>
    <x v="0"/>
    <x v="139"/>
    <n v="1"/>
    <n v="1975"/>
    <x v="2"/>
  </r>
  <r>
    <x v="4"/>
    <x v="0"/>
    <x v="16"/>
    <x v="0"/>
    <x v="133"/>
    <n v="1"/>
    <n v="1749"/>
    <x v="2"/>
  </r>
  <r>
    <x v="4"/>
    <x v="5"/>
    <x v="16"/>
    <x v="0"/>
    <x v="136"/>
    <n v="1"/>
    <n v="2575"/>
    <x v="2"/>
  </r>
  <r>
    <x v="4"/>
    <x v="12"/>
    <x v="14"/>
    <x v="5"/>
    <x v="129"/>
    <n v="1"/>
    <n v="234.01"/>
    <x v="2"/>
  </r>
  <r>
    <x v="4"/>
    <x v="0"/>
    <x v="16"/>
    <x v="0"/>
    <x v="133"/>
    <n v="1"/>
    <n v="1749"/>
    <x v="2"/>
  </r>
  <r>
    <x v="4"/>
    <x v="5"/>
    <x v="16"/>
    <x v="0"/>
    <x v="136"/>
    <n v="1"/>
    <n v="2575"/>
    <x v="2"/>
  </r>
  <r>
    <x v="4"/>
    <x v="5"/>
    <x v="16"/>
    <x v="0"/>
    <x v="136"/>
    <n v="1"/>
    <n v="2575"/>
    <x v="2"/>
  </r>
  <r>
    <x v="4"/>
    <x v="1"/>
    <x v="16"/>
    <x v="0"/>
    <x v="138"/>
    <n v="1"/>
    <n v="1975"/>
    <x v="2"/>
  </r>
  <r>
    <x v="4"/>
    <x v="1"/>
    <x v="16"/>
    <x v="0"/>
    <x v="138"/>
    <n v="1"/>
    <n v="1975"/>
    <x v="2"/>
  </r>
  <r>
    <x v="4"/>
    <x v="8"/>
    <x v="18"/>
    <x v="5"/>
    <x v="134"/>
    <n v="1"/>
    <n v="234.01"/>
    <x v="2"/>
  </r>
  <r>
    <x v="4"/>
    <x v="1"/>
    <x v="16"/>
    <x v="0"/>
    <x v="138"/>
    <n v="1"/>
    <n v="1975.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990FDA-D145-4937-82C2-2C4C7F49BE6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 firstHeaderRow="0" firstDataRow="0" firstDataCol="0" rowPageCount="1" colPageCount="1"/>
  <pivotFields count="8">
    <pivotField numFmtId="14" showAll="0">
      <items count="6">
        <item x="0"/>
        <item x="1"/>
        <item x="2"/>
        <item x="3"/>
        <item x="4"/>
        <item t="default"/>
      </items>
    </pivotField>
    <pivotField name="ASIN     " axis="axisPage"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showAll="0">
      <items count="7">
        <item x="0"/>
        <item x="4"/>
        <item x="1"/>
        <item x="3"/>
        <item x="5"/>
        <item x="2"/>
        <item t="default"/>
      </items>
    </pivotField>
    <pivotField multipleItemSelectionAllowed="1" showAll="0">
      <items count="144">
        <item x="77"/>
        <item x="16"/>
        <item x="34"/>
        <item x="52"/>
        <item x="19"/>
        <item x="86"/>
        <item x="59"/>
        <item x="80"/>
        <item x="5"/>
        <item x="57"/>
        <item x="15"/>
        <item x="87"/>
        <item x="25"/>
        <item x="1"/>
        <item x="26"/>
        <item x="58"/>
        <item x="85"/>
        <item x="2"/>
        <item x="55"/>
        <item x="0"/>
        <item x="27"/>
        <item x="70"/>
        <item x="89"/>
        <item x="96"/>
        <item x="92"/>
        <item x="94"/>
        <item x="61"/>
        <item x="114"/>
        <item x="115"/>
        <item x="81"/>
        <item x="82"/>
        <item x="105"/>
        <item x="32"/>
        <item x="18"/>
        <item x="36"/>
        <item x="62"/>
        <item x="41"/>
        <item x="24"/>
        <item x="54"/>
        <item x="40"/>
        <item x="73"/>
        <item x="10"/>
        <item x="13"/>
        <item x="99"/>
        <item x="38"/>
        <item x="30"/>
        <item x="71"/>
        <item x="21"/>
        <item x="14"/>
        <item x="31"/>
        <item x="20"/>
        <item x="22"/>
        <item x="67"/>
        <item x="78"/>
        <item x="98"/>
        <item x="23"/>
        <item x="29"/>
        <item x="33"/>
        <item x="6"/>
        <item x="97"/>
        <item x="91"/>
        <item x="124"/>
        <item x="35"/>
        <item x="74"/>
        <item x="90"/>
        <item x="121"/>
        <item x="125"/>
        <item x="112"/>
        <item x="140"/>
        <item x="142"/>
        <item x="131"/>
        <item x="133"/>
        <item x="139"/>
        <item x="136"/>
        <item x="138"/>
        <item x="141"/>
        <item x="93"/>
        <item x="127"/>
        <item x="119"/>
        <item x="106"/>
        <item x="118"/>
        <item x="113"/>
        <item x="103"/>
        <item x="102"/>
        <item x="111"/>
        <item x="101"/>
        <item x="109"/>
        <item x="110"/>
        <item x="107"/>
        <item x="108"/>
        <item x="120"/>
        <item x="123"/>
        <item x="116"/>
        <item x="117"/>
        <item x="104"/>
        <item x="47"/>
        <item x="126"/>
        <item x="8"/>
        <item x="7"/>
        <item x="12"/>
        <item x="11"/>
        <item x="122"/>
        <item x="9"/>
        <item x="130"/>
        <item x="132"/>
        <item x="137"/>
        <item x="129"/>
        <item x="135"/>
        <item x="134"/>
        <item x="76"/>
        <item x="83"/>
        <item x="64"/>
        <item x="4"/>
        <item x="128"/>
        <item x="65"/>
        <item x="28"/>
        <item x="53"/>
        <item x="72"/>
        <item x="95"/>
        <item x="39"/>
        <item x="100"/>
        <item x="75"/>
        <item x="48"/>
        <item x="42"/>
        <item x="68"/>
        <item x="88"/>
        <item x="45"/>
        <item x="46"/>
        <item x="43"/>
        <item x="44"/>
        <item x="69"/>
        <item x="63"/>
        <item x="50"/>
        <item x="56"/>
        <item x="49"/>
        <item x="51"/>
        <item x="37"/>
        <item x="17"/>
        <item x="84"/>
        <item x="79"/>
        <item x="66"/>
        <item x="60"/>
        <item x="3"/>
        <item t="default"/>
      </items>
    </pivotField>
    <pivotField showAll="0"/>
    <pivotField numFmtId="164" showAll="0"/>
    <pivotField showAll="0">
      <items count="4">
        <item x="0"/>
        <item x="1"/>
        <item x="2"/>
        <item t="default"/>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F744A6-F14B-42F5-BF73-D54E4FCFF6C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26" firstHeaderRow="1" firstDataRow="1" firstDataCol="1"/>
  <pivotFields count="8">
    <pivotField numFmtId="14" showAll="0">
      <items count="6">
        <item x="0"/>
        <item x="1"/>
        <item x="2"/>
        <item x="3"/>
        <item x="4"/>
        <item t="default"/>
      </items>
    </pivotField>
    <pivotField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axis="axisRow" showAll="0">
      <items count="23">
        <item x="5"/>
        <item x="15"/>
        <item x="10"/>
        <item x="17"/>
        <item x="6"/>
        <item x="4"/>
        <item x="20"/>
        <item x="14"/>
        <item x="0"/>
        <item x="19"/>
        <item x="9"/>
        <item x="21"/>
        <item x="13"/>
        <item x="2"/>
        <item x="18"/>
        <item x="16"/>
        <item x="12"/>
        <item x="11"/>
        <item x="7"/>
        <item x="8"/>
        <item x="3"/>
        <item x="1"/>
        <item t="default"/>
      </items>
    </pivotField>
    <pivotField showAll="0"/>
    <pivotField showAll="0"/>
    <pivotField showAll="0"/>
    <pivotField dataField="1" numFmtId="164" showAll="0"/>
    <pivotField showAll="0">
      <items count="4">
        <item x="0"/>
        <item x="1"/>
        <item x="2"/>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enue" fld="6"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A22B2-AE09-4A82-9046-9513158AAA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9" firstHeaderRow="1" firstDataRow="1" firstDataCol="1"/>
  <pivotFields count="8">
    <pivotField numFmtId="14" showAll="0">
      <items count="6">
        <item x="0"/>
        <item x="1"/>
        <item x="2"/>
        <item x="3"/>
        <item x="4"/>
        <item t="default"/>
      </items>
    </pivotField>
    <pivotField axis="axisRow"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showAll="0"/>
    <pivotField showAll="0"/>
    <pivotField showAll="0"/>
    <pivotField dataField="1" numFmtId="164" showAll="0"/>
    <pivotField showAll="0">
      <items count="4">
        <item x="0"/>
        <item x="1"/>
        <item x="2"/>
        <item t="default"/>
      </items>
    </pivotField>
  </pivotFields>
  <rowFields count="1">
    <field x="1"/>
  </rowFields>
  <rowItems count="1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t="grand">
      <x/>
    </i>
  </rowItems>
  <colItems count="1">
    <i/>
  </colItems>
  <dataFields count="1">
    <dataField name="Sum of Revenue" fld="6"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214164-64EB-42C2-9DE5-DECC3AF5AE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8:M35" firstHeaderRow="0" firstDataRow="1" firstDataCol="1"/>
  <pivotFields count="8">
    <pivotField numFmtId="14" showAll="0">
      <items count="6">
        <item x="0"/>
        <item x="1"/>
        <item x="2"/>
        <item x="3"/>
        <item x="4"/>
        <item t="default"/>
      </items>
    </pivotField>
    <pivotField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axis="axisRow" showAll="0">
      <items count="7">
        <item x="0"/>
        <item x="4"/>
        <item x="1"/>
        <item x="3"/>
        <item x="5"/>
        <item x="2"/>
        <item t="default"/>
      </items>
    </pivotField>
    <pivotField showAll="0"/>
    <pivotField dataField="1" showAll="0"/>
    <pivotField dataField="1" numFmtId="164" showAll="0"/>
    <pivotField showAll="0">
      <items count="4">
        <item x="0"/>
        <item x="1"/>
        <item x="2"/>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Units " fld="5" baseField="0" baseItem="0"/>
    <dataField name="Sum of Revenue"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C8761B-3AFE-4398-ADFC-875419DAB7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 firstHeaderRow="0" firstDataRow="0" firstDataCol="0" rowPageCount="1" colPageCount="1"/>
  <pivotFields count="8">
    <pivotField numFmtId="14" showAll="0">
      <items count="6">
        <item x="0"/>
        <item x="1"/>
        <item x="2"/>
        <item x="3"/>
        <item x="4"/>
        <item t="default"/>
      </items>
    </pivotField>
    <pivotField axis="axisPage"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showAll="0">
      <items count="7">
        <item x="0"/>
        <item x="4"/>
        <item x="1"/>
        <item x="3"/>
        <item x="5"/>
        <item x="2"/>
        <item t="default"/>
      </items>
    </pivotField>
    <pivotField multipleItemSelectionAllowed="1" showAll="0">
      <items count="144">
        <item x="77"/>
        <item x="16"/>
        <item x="34"/>
        <item x="52"/>
        <item x="19"/>
        <item x="86"/>
        <item x="59"/>
        <item x="80"/>
        <item x="5"/>
        <item x="57"/>
        <item x="15"/>
        <item x="87"/>
        <item x="25"/>
        <item x="1"/>
        <item x="26"/>
        <item x="58"/>
        <item x="85"/>
        <item x="2"/>
        <item x="55"/>
        <item x="0"/>
        <item x="27"/>
        <item x="70"/>
        <item x="89"/>
        <item x="96"/>
        <item x="92"/>
        <item x="94"/>
        <item x="61"/>
        <item x="114"/>
        <item x="115"/>
        <item x="81"/>
        <item x="82"/>
        <item x="105"/>
        <item x="32"/>
        <item x="18"/>
        <item x="36"/>
        <item x="62"/>
        <item x="41"/>
        <item x="24"/>
        <item x="54"/>
        <item x="40"/>
        <item x="73"/>
        <item x="10"/>
        <item x="13"/>
        <item x="99"/>
        <item x="38"/>
        <item x="30"/>
        <item x="71"/>
        <item x="21"/>
        <item x="14"/>
        <item x="31"/>
        <item x="20"/>
        <item x="22"/>
        <item x="67"/>
        <item x="78"/>
        <item x="98"/>
        <item x="23"/>
        <item x="29"/>
        <item x="33"/>
        <item x="6"/>
        <item x="97"/>
        <item x="91"/>
        <item x="124"/>
        <item x="35"/>
        <item x="74"/>
        <item x="90"/>
        <item x="121"/>
        <item x="125"/>
        <item x="112"/>
        <item x="140"/>
        <item x="142"/>
        <item x="131"/>
        <item x="133"/>
        <item x="139"/>
        <item x="136"/>
        <item x="138"/>
        <item x="141"/>
        <item x="93"/>
        <item x="127"/>
        <item x="119"/>
        <item x="106"/>
        <item x="118"/>
        <item x="113"/>
        <item x="103"/>
        <item x="102"/>
        <item x="111"/>
        <item x="101"/>
        <item x="109"/>
        <item x="110"/>
        <item x="107"/>
        <item x="108"/>
        <item x="120"/>
        <item x="123"/>
        <item x="116"/>
        <item x="117"/>
        <item x="104"/>
        <item x="47"/>
        <item x="126"/>
        <item x="8"/>
        <item x="7"/>
        <item x="12"/>
        <item x="11"/>
        <item x="122"/>
        <item x="9"/>
        <item x="130"/>
        <item x="132"/>
        <item x="137"/>
        <item x="129"/>
        <item x="135"/>
        <item x="134"/>
        <item x="76"/>
        <item x="83"/>
        <item x="64"/>
        <item x="4"/>
        <item x="128"/>
        <item x="65"/>
        <item x="28"/>
        <item x="53"/>
        <item x="72"/>
        <item x="95"/>
        <item x="39"/>
        <item x="100"/>
        <item x="75"/>
        <item x="48"/>
        <item x="42"/>
        <item x="68"/>
        <item x="88"/>
        <item x="45"/>
        <item x="46"/>
        <item x="43"/>
        <item x="44"/>
        <item x="69"/>
        <item x="63"/>
        <item x="50"/>
        <item x="56"/>
        <item x="49"/>
        <item x="51"/>
        <item x="37"/>
        <item x="17"/>
        <item x="84"/>
        <item x="79"/>
        <item x="66"/>
        <item x="60"/>
        <item x="3"/>
        <item t="default"/>
      </items>
    </pivotField>
    <pivotField showAll="0"/>
    <pivotField numFmtId="164" showAll="0"/>
    <pivotField showAll="0">
      <items count="4">
        <item x="0"/>
        <item x="1"/>
        <item x="2"/>
        <item t="default"/>
      </items>
    </pivotField>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7CA5ED-38B0-4A3B-A452-BE6BEE8C7E5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147" firstHeaderRow="1" firstDataRow="1" firstDataCol="1"/>
  <pivotFields count="8">
    <pivotField numFmtId="14" showAll="0">
      <items count="6">
        <item x="0"/>
        <item x="1"/>
        <item x="2"/>
        <item x="3"/>
        <item x="4"/>
        <item t="default"/>
      </items>
    </pivotField>
    <pivotField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showAll="0"/>
    <pivotField axis="axisRow" showAll="0">
      <items count="144">
        <item x="77"/>
        <item x="16"/>
        <item x="34"/>
        <item x="52"/>
        <item x="19"/>
        <item x="86"/>
        <item x="59"/>
        <item x="80"/>
        <item x="5"/>
        <item x="57"/>
        <item x="15"/>
        <item x="87"/>
        <item x="25"/>
        <item x="1"/>
        <item x="26"/>
        <item x="58"/>
        <item x="85"/>
        <item x="2"/>
        <item x="55"/>
        <item x="0"/>
        <item x="27"/>
        <item x="70"/>
        <item x="89"/>
        <item x="96"/>
        <item x="92"/>
        <item x="94"/>
        <item x="61"/>
        <item x="114"/>
        <item x="115"/>
        <item x="81"/>
        <item x="82"/>
        <item x="105"/>
        <item x="32"/>
        <item x="18"/>
        <item x="36"/>
        <item x="62"/>
        <item x="41"/>
        <item x="24"/>
        <item x="54"/>
        <item x="40"/>
        <item x="73"/>
        <item x="10"/>
        <item x="13"/>
        <item x="99"/>
        <item x="38"/>
        <item x="30"/>
        <item x="71"/>
        <item x="21"/>
        <item x="14"/>
        <item x="31"/>
        <item x="20"/>
        <item x="22"/>
        <item x="67"/>
        <item x="78"/>
        <item x="98"/>
        <item x="23"/>
        <item x="29"/>
        <item x="33"/>
        <item x="6"/>
        <item x="97"/>
        <item x="91"/>
        <item x="124"/>
        <item x="35"/>
        <item x="74"/>
        <item x="90"/>
        <item x="121"/>
        <item x="125"/>
        <item x="112"/>
        <item x="140"/>
        <item x="142"/>
        <item x="131"/>
        <item x="133"/>
        <item x="139"/>
        <item x="136"/>
        <item x="138"/>
        <item x="141"/>
        <item x="93"/>
        <item x="127"/>
        <item x="119"/>
        <item x="106"/>
        <item x="118"/>
        <item x="113"/>
        <item x="103"/>
        <item x="102"/>
        <item x="111"/>
        <item x="101"/>
        <item x="109"/>
        <item x="110"/>
        <item x="107"/>
        <item x="108"/>
        <item x="120"/>
        <item x="123"/>
        <item x="116"/>
        <item x="117"/>
        <item x="104"/>
        <item x="47"/>
        <item x="126"/>
        <item x="8"/>
        <item x="7"/>
        <item x="12"/>
        <item x="11"/>
        <item x="122"/>
        <item x="9"/>
        <item x="130"/>
        <item x="132"/>
        <item x="137"/>
        <item x="129"/>
        <item x="135"/>
        <item x="134"/>
        <item x="76"/>
        <item x="83"/>
        <item x="64"/>
        <item x="4"/>
        <item x="128"/>
        <item x="65"/>
        <item x="28"/>
        <item x="53"/>
        <item x="72"/>
        <item x="95"/>
        <item x="39"/>
        <item x="100"/>
        <item x="75"/>
        <item x="48"/>
        <item x="42"/>
        <item x="68"/>
        <item x="88"/>
        <item x="45"/>
        <item x="46"/>
        <item x="43"/>
        <item x="44"/>
        <item x="69"/>
        <item x="63"/>
        <item x="50"/>
        <item x="56"/>
        <item x="49"/>
        <item x="51"/>
        <item x="37"/>
        <item x="17"/>
        <item x="84"/>
        <item x="79"/>
        <item x="66"/>
        <item x="60"/>
        <item x="3"/>
        <item t="default"/>
      </items>
    </pivotField>
    <pivotField showAll="0"/>
    <pivotField dataField="1" numFmtId="164" showAll="0"/>
    <pivotField showAll="0">
      <items count="4">
        <item x="0"/>
        <item x="1"/>
        <item x="2"/>
        <item t="default"/>
      </items>
    </pivotField>
  </pivotFields>
  <rowFields count="1">
    <field x="4"/>
  </rowFields>
  <rowItems count="1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t="grand">
      <x/>
    </i>
  </rowItems>
  <colItems count="1">
    <i/>
  </colItems>
  <dataFields count="1">
    <dataField name="Sum of Revenue" fld="6"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0BD906-4FE5-4586-B8E8-4B5EBE88441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M10" firstHeaderRow="0" firstDataRow="1" firstDataCol="1"/>
  <pivotFields count="8">
    <pivotField numFmtId="14" showAll="0">
      <items count="6">
        <item x="0"/>
        <item x="1"/>
        <item x="2"/>
        <item x="3"/>
        <item x="4"/>
        <item t="default"/>
      </items>
    </pivotField>
    <pivotField showAll="0">
      <items count="126">
        <item x="39"/>
        <item x="47"/>
        <item x="3"/>
        <item x="115"/>
        <item x="67"/>
        <item x="74"/>
        <item x="97"/>
        <item x="28"/>
        <item x="40"/>
        <item x="55"/>
        <item x="77"/>
        <item x="58"/>
        <item x="65"/>
        <item x="70"/>
        <item x="43"/>
        <item x="90"/>
        <item x="51"/>
        <item x="17"/>
        <item x="71"/>
        <item x="45"/>
        <item x="44"/>
        <item x="107"/>
        <item x="108"/>
        <item x="109"/>
        <item x="121"/>
        <item x="116"/>
        <item x="117"/>
        <item x="118"/>
        <item x="124"/>
        <item x="85"/>
        <item x="4"/>
        <item x="78"/>
        <item x="66"/>
        <item x="86"/>
        <item x="53"/>
        <item x="37"/>
        <item x="95"/>
        <item x="110"/>
        <item x="119"/>
        <item x="46"/>
        <item x="48"/>
        <item x="52"/>
        <item x="103"/>
        <item x="50"/>
        <item x="81"/>
        <item x="62"/>
        <item x="68"/>
        <item x="5"/>
        <item x="25"/>
        <item x="15"/>
        <item x="61"/>
        <item x="1"/>
        <item x="19"/>
        <item x="2"/>
        <item x="60"/>
        <item x="0"/>
        <item x="102"/>
        <item x="27"/>
        <item x="87"/>
        <item x="26"/>
        <item x="88"/>
        <item x="89"/>
        <item x="82"/>
        <item x="57"/>
        <item x="59"/>
        <item x="23"/>
        <item x="10"/>
        <item x="100"/>
        <item x="20"/>
        <item x="22"/>
        <item x="42"/>
        <item x="41"/>
        <item x="21"/>
        <item x="31"/>
        <item x="30"/>
        <item x="14"/>
        <item x="75"/>
        <item x="101"/>
        <item x="73"/>
        <item x="36"/>
        <item x="18"/>
        <item x="24"/>
        <item x="69"/>
        <item x="64"/>
        <item x="38"/>
        <item x="80"/>
        <item x="13"/>
        <item x="56"/>
        <item x="33"/>
        <item x="6"/>
        <item x="29"/>
        <item x="54"/>
        <item x="79"/>
        <item x="34"/>
        <item x="16"/>
        <item x="120"/>
        <item x="111"/>
        <item x="123"/>
        <item x="105"/>
        <item x="112"/>
        <item x="104"/>
        <item x="92"/>
        <item x="76"/>
        <item x="35"/>
        <item x="122"/>
        <item x="32"/>
        <item x="93"/>
        <item x="99"/>
        <item x="9"/>
        <item x="7"/>
        <item x="12"/>
        <item x="8"/>
        <item x="49"/>
        <item x="11"/>
        <item x="84"/>
        <item x="83"/>
        <item x="91"/>
        <item x="63"/>
        <item x="106"/>
        <item x="72"/>
        <item x="94"/>
        <item x="98"/>
        <item x="96"/>
        <item x="113"/>
        <item x="114"/>
        <item t="default"/>
      </items>
    </pivotField>
    <pivotField showAll="0"/>
    <pivotField axis="axisRow" showAll="0">
      <items count="7">
        <item x="0"/>
        <item x="4"/>
        <item x="1"/>
        <item x="3"/>
        <item x="5"/>
        <item x="2"/>
        <item t="default"/>
      </items>
    </pivotField>
    <pivotField showAll="0"/>
    <pivotField dataField="1" showAll="0"/>
    <pivotField dataField="1" numFmtId="164" showAll="0"/>
    <pivotField showAll="0">
      <items count="4">
        <item x="0"/>
        <item x="1"/>
        <item x="2"/>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Units " fld="5" baseField="0" baseItem="0"/>
    <dataField name="Sum of Revenue" fld="6" baseField="0" baseItem="0" numFmtId="164"/>
  </dataFields>
  <chartFormats count="28">
    <chartFormat chart="0" format="0"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3" count="1" selected="0">
            <x v="0"/>
          </reference>
        </references>
      </pivotArea>
    </chartFormat>
    <chartFormat chart="2" format="10">
      <pivotArea type="data" outline="0" fieldPosition="0">
        <references count="2">
          <reference field="4294967294" count="1" selected="0">
            <x v="1"/>
          </reference>
          <reference field="3" count="1" selected="0">
            <x v="1"/>
          </reference>
        </references>
      </pivotArea>
    </chartFormat>
    <chartFormat chart="2" format="11">
      <pivotArea type="data" outline="0" fieldPosition="0">
        <references count="2">
          <reference field="4294967294" count="1" selected="0">
            <x v="1"/>
          </reference>
          <reference field="3" count="1" selected="0">
            <x v="2"/>
          </reference>
        </references>
      </pivotArea>
    </chartFormat>
    <chartFormat chart="2" format="12">
      <pivotArea type="data" outline="0" fieldPosition="0">
        <references count="2">
          <reference field="4294967294" count="1" selected="0">
            <x v="1"/>
          </reference>
          <reference field="3" count="1" selected="0">
            <x v="3"/>
          </reference>
        </references>
      </pivotArea>
    </chartFormat>
    <chartFormat chart="2" format="13">
      <pivotArea type="data" outline="0" fieldPosition="0">
        <references count="2">
          <reference field="4294967294" count="1" selected="0">
            <x v="1"/>
          </reference>
          <reference field="3" count="1" selected="0">
            <x v="4"/>
          </reference>
        </references>
      </pivotArea>
    </chartFormat>
    <chartFormat chart="2" format="14">
      <pivotArea type="data" outline="0" fieldPosition="0">
        <references count="2">
          <reference field="4294967294" count="1" selected="0">
            <x v="1"/>
          </reference>
          <reference field="3" count="1" selected="0">
            <x v="5"/>
          </reference>
        </references>
      </pivotArea>
    </chartFormat>
    <chartFormat chart="2" format="1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3" count="1" selected="0">
            <x v="0"/>
          </reference>
        </references>
      </pivotArea>
    </chartFormat>
    <chartFormat chart="2" format="17">
      <pivotArea type="data" outline="0" fieldPosition="0">
        <references count="2">
          <reference field="4294967294" count="1" selected="0">
            <x v="0"/>
          </reference>
          <reference field="3" count="1" selected="0">
            <x v="1"/>
          </reference>
        </references>
      </pivotArea>
    </chartFormat>
    <chartFormat chart="2" format="18">
      <pivotArea type="data" outline="0" fieldPosition="0">
        <references count="2">
          <reference field="4294967294" count="1" selected="0">
            <x v="0"/>
          </reference>
          <reference field="3" count="1" selected="0">
            <x v="2"/>
          </reference>
        </references>
      </pivotArea>
    </chartFormat>
    <chartFormat chart="2" format="19">
      <pivotArea type="data" outline="0" fieldPosition="0">
        <references count="2">
          <reference field="4294967294" count="1" selected="0">
            <x v="0"/>
          </reference>
          <reference field="3" count="1" selected="0">
            <x v="3"/>
          </reference>
        </references>
      </pivotArea>
    </chartFormat>
    <chartFormat chart="2" format="20">
      <pivotArea type="data" outline="0" fieldPosition="0">
        <references count="2">
          <reference field="4294967294" count="1" selected="0">
            <x v="0"/>
          </reference>
          <reference field="3" count="1" selected="0">
            <x v="4"/>
          </reference>
        </references>
      </pivotArea>
    </chartFormat>
    <chartFormat chart="2" format="21">
      <pivotArea type="data" outline="0" fieldPosition="0">
        <references count="2">
          <reference field="4294967294" count="1" selected="0">
            <x v="0"/>
          </reference>
          <reference field="3" count="1" selected="0">
            <x v="5"/>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1"/>
          </reference>
          <reference field="3" count="1" selected="0">
            <x v="0"/>
          </reference>
        </references>
      </pivotArea>
    </chartFormat>
    <chartFormat chart="0" format="9">
      <pivotArea type="data" outline="0" fieldPosition="0">
        <references count="2">
          <reference field="4294967294" count="1" selected="0">
            <x v="1"/>
          </reference>
          <reference field="3" count="1" selected="0">
            <x v="1"/>
          </reference>
        </references>
      </pivotArea>
    </chartFormat>
    <chartFormat chart="0" format="10">
      <pivotArea type="data" outline="0" fieldPosition="0">
        <references count="2">
          <reference field="4294967294" count="1" selected="0">
            <x v="1"/>
          </reference>
          <reference field="3" count="1" selected="0">
            <x v="2"/>
          </reference>
        </references>
      </pivotArea>
    </chartFormat>
    <chartFormat chart="0" format="11">
      <pivotArea type="data" outline="0" fieldPosition="0">
        <references count="2">
          <reference field="4294967294" count="1" selected="0">
            <x v="1"/>
          </reference>
          <reference field="3" count="1" selected="0">
            <x v="3"/>
          </reference>
        </references>
      </pivotArea>
    </chartFormat>
    <chartFormat chart="0" format="12">
      <pivotArea type="data" outline="0" fieldPosition="0">
        <references count="2">
          <reference field="4294967294" count="1" selected="0">
            <x v="1"/>
          </reference>
          <reference field="3" count="1" selected="0">
            <x v="4"/>
          </reference>
        </references>
      </pivotArea>
    </chartFormat>
    <chartFormat chart="0" format="13">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E4D19B-148B-4B56-8189-17FF6168170B}" autoFormatId="16" applyNumberFormats="0" applyBorderFormats="0" applyFontFormats="0" applyPatternFormats="0" applyAlignmentFormats="0" applyWidthHeightFormats="0">
  <queryTableRefresh nextId="16" unboundColumnsRight="1">
    <queryTableFields count="8">
      <queryTableField id="1" name="Source.Name" tableColumnId="1"/>
      <queryTableField id="2" name="ASIN" tableColumnId="2"/>
      <queryTableField id="13" dataBound="0" tableColumnId="13"/>
      <queryTableField id="4" name="Brand" tableColumnId="4"/>
      <queryTableField id="12" dataBound="0" tableColumnId="12"/>
      <queryTableField id="14" dataBound="0" tableColumnId="14"/>
      <queryTableField id="6" name="Ordered Revenue" tableColumnId="6"/>
      <queryTableField id="15" dataBound="0" tableColumnId="3"/>
    </queryTableFields>
    <queryTableDeletedFields count="7">
      <deletedField name="Product Title"/>
      <deletedField name="Store Code"/>
      <deletedField name="Shipped Revenue"/>
      <deletedField name="Shipped COGS"/>
      <deletedField name="Shipped Units"/>
      <deletedField name="Customer Returns"/>
      <deletedField name="Ordered Unit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62EEE97-872F-46DD-8541-93F4F12A589A}" sourceName="Date">
  <pivotTables>
    <pivotTable tabId="6" name="PivotTable13"/>
    <pivotTable tabId="6" name="PivotTable10"/>
    <pivotTable tabId="6" name="PivotTable11"/>
    <pivotTable tabId="6" name="PivotTable12"/>
    <pivotTable tabId="6" name="PivotTable8"/>
    <pivotTable tabId="6" name="PivotTable9"/>
    <pivotTable tabId="7" name="PivotTable15"/>
  </pivotTables>
  <data>
    <tabular pivotCacheId="172227390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IN" xr10:uid="{C45D20B9-272B-47AD-8D28-DD0C4DB278D6}" sourceName="ASIN">
  <pivotTables>
    <pivotTable tabId="6" name="PivotTable13"/>
    <pivotTable tabId="6" name="PivotTable10"/>
    <pivotTable tabId="6" name="PivotTable11"/>
    <pivotTable tabId="6" name="PivotTable12"/>
    <pivotTable tabId="6" name="PivotTable8"/>
    <pivotTable tabId="6" name="PivotTable9"/>
    <pivotTable tabId="7" name="PivotTable15"/>
  </pivotTables>
  <data>
    <tabular pivotCacheId="1722273902">
      <items count="125">
        <i x="39" s="1"/>
        <i x="47" s="1"/>
        <i x="3" s="1"/>
        <i x="115" s="1"/>
        <i x="67" s="1"/>
        <i x="74" s="1"/>
        <i x="97" s="1"/>
        <i x="28" s="1"/>
        <i x="40" s="1"/>
        <i x="55" s="1"/>
        <i x="77" s="1"/>
        <i x="58" s="1"/>
        <i x="65" s="1"/>
        <i x="70" s="1"/>
        <i x="43" s="1"/>
        <i x="90" s="1"/>
        <i x="51" s="1"/>
        <i x="17" s="1"/>
        <i x="71" s="1"/>
        <i x="45" s="1"/>
        <i x="44" s="1"/>
        <i x="107" s="1"/>
        <i x="108" s="1"/>
        <i x="109" s="1"/>
        <i x="121" s="1"/>
        <i x="116" s="1"/>
        <i x="117" s="1"/>
        <i x="118" s="1"/>
        <i x="124" s="1"/>
        <i x="85" s="1"/>
        <i x="4" s="1"/>
        <i x="78" s="1"/>
        <i x="66" s="1"/>
        <i x="86" s="1"/>
        <i x="53" s="1"/>
        <i x="37" s="1"/>
        <i x="95" s="1"/>
        <i x="110" s="1"/>
        <i x="119" s="1"/>
        <i x="46" s="1"/>
        <i x="48" s="1"/>
        <i x="52" s="1"/>
        <i x="103" s="1"/>
        <i x="50" s="1"/>
        <i x="81" s="1"/>
        <i x="62" s="1"/>
        <i x="68" s="1"/>
        <i x="5" s="1"/>
        <i x="25" s="1"/>
        <i x="15" s="1"/>
        <i x="61" s="1"/>
        <i x="1" s="1"/>
        <i x="19" s="1"/>
        <i x="2" s="1"/>
        <i x="60" s="1"/>
        <i x="0" s="1"/>
        <i x="102" s="1"/>
        <i x="27" s="1"/>
        <i x="87" s="1"/>
        <i x="26" s="1"/>
        <i x="88" s="1"/>
        <i x="89" s="1"/>
        <i x="82" s="1"/>
        <i x="57" s="1"/>
        <i x="59" s="1"/>
        <i x="23" s="1"/>
        <i x="10" s="1"/>
        <i x="100" s="1"/>
        <i x="20" s="1"/>
        <i x="22" s="1"/>
        <i x="42" s="1"/>
        <i x="41" s="1"/>
        <i x="21" s="1"/>
        <i x="31" s="1"/>
        <i x="30" s="1"/>
        <i x="14" s="1"/>
        <i x="75" s="1"/>
        <i x="101" s="1"/>
        <i x="73" s="1"/>
        <i x="36" s="1"/>
        <i x="18" s="1"/>
        <i x="24" s="1"/>
        <i x="69" s="1"/>
        <i x="64" s="1"/>
        <i x="38" s="1"/>
        <i x="80" s="1"/>
        <i x="13" s="1"/>
        <i x="56" s="1"/>
        <i x="33" s="1"/>
        <i x="6" s="1"/>
        <i x="29" s="1"/>
        <i x="54" s="1"/>
        <i x="79" s="1"/>
        <i x="34" s="1"/>
        <i x="16" s="1"/>
        <i x="120" s="1"/>
        <i x="111" s="1"/>
        <i x="123" s="1"/>
        <i x="105" s="1"/>
        <i x="112" s="1"/>
        <i x="104" s="1"/>
        <i x="92" s="1"/>
        <i x="76" s="1"/>
        <i x="35" s="1"/>
        <i x="122" s="1"/>
        <i x="32" s="1"/>
        <i x="93" s="1"/>
        <i x="99" s="1"/>
        <i x="9" s="1"/>
        <i x="7" s="1"/>
        <i x="12" s="1"/>
        <i x="8" s="1"/>
        <i x="49" s="1"/>
        <i x="11" s="1"/>
        <i x="84" s="1"/>
        <i x="83" s="1"/>
        <i x="91" s="1"/>
        <i x="63" s="1"/>
        <i x="106" s="1"/>
        <i x="72" s="1"/>
        <i x="94" s="1"/>
        <i x="98" s="1"/>
        <i x="96" s="1"/>
        <i x="113" s="1"/>
        <i x="1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6F8D7B37-AFB8-496E-A11C-86FE21DFF7B4}" sourceName="Source">
  <pivotTables>
    <pivotTable tabId="6" name="PivotTable13"/>
    <pivotTable tabId="6" name="PivotTable10"/>
    <pivotTable tabId="6" name="PivotTable11"/>
    <pivotTable tabId="6" name="PivotTable12"/>
    <pivotTable tabId="6" name="PivotTable8"/>
    <pivotTable tabId="6" name="PivotTable9"/>
    <pivotTable tabId="7" name="PivotTable15"/>
  </pivotTables>
  <data>
    <tabular pivotCacheId="17222739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48179E93-5CF7-40F8-83C6-2B68387EA43C}" cache="Slicer_Date" caption="Date" style="SlicerStyleOther2 2" rowHeight="241300"/>
  <slicer name="ASIN 1" xr10:uid="{DA39047D-BC8E-4901-89DB-F9E8B27CA66F}" cache="Slicer_ASIN" caption="ASIN" startItem="27" style="SlicerStyleOther2 2" rowHeight="241300"/>
  <slicer name="Source 1" xr10:uid="{532AE60B-23F6-4C5F-B0AB-DC2E1B0F3DC0}" cache="Slicer_Source" caption="Source" style="SlicerStyleOther2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A6C5335-AE4A-4B47-9882-D62FACBF37BB}" cache="Slicer_Date" caption="Date" rowHeight="241300"/>
  <slicer name="ASIN" xr10:uid="{882D3821-647B-41F1-B146-54FE02D7FF6F}" cache="Slicer_ASIN" caption="ASIN" rowHeight="241300"/>
  <slicer name="Source" xr10:uid="{F40647B5-27F1-4B7B-904D-FFE17701CF46}" cache="Slicer_Source" caption="Sourc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C669F-338F-442A-B7A0-E17B6E7E00BF}" name="Amazon_1P__2" displayName="Amazon_1P__2" ref="A1:H698" tableType="queryTable" totalsRowShown="0">
  <autoFilter ref="A1:H698" xr:uid="{FAFC669F-338F-442A-B7A0-E17B6E7E00BF}"/>
  <tableColumns count="8">
    <tableColumn id="1" xr3:uid="{CEE927B3-3854-4BEC-8B05-4E30D20054FD}" uniqueName="1" name="Date" queryTableFieldId="1" dataDxfId="9"/>
    <tableColumn id="2" xr3:uid="{6C31A9AE-C763-4CC5-A5DE-129C4F486A9E}" uniqueName="2" name="ASIN" queryTableFieldId="2" dataDxfId="8"/>
    <tableColumn id="13" xr3:uid="{5414AE44-6DC6-4C33-BE6D-E52EBFD3501D}" uniqueName="13" name="Product Category" queryTableFieldId="13" dataDxfId="7"/>
    <tableColumn id="4" xr3:uid="{76C22F74-5E97-4427-84A7-13B71E4D52BF}" uniqueName="4" name="Brand" queryTableFieldId="4" dataDxfId="6"/>
    <tableColumn id="12" xr3:uid="{7907FCEE-0FEE-4EB0-AF5E-D914BCFF6E27}" uniqueName="12" name="SKU ID" queryTableFieldId="12" dataDxfId="5"/>
    <tableColumn id="14" xr3:uid="{661F6022-8137-43C7-9087-CD77AB6DFC75}" uniqueName="14" name="Units " queryTableFieldId="14" dataDxfId="4"/>
    <tableColumn id="6" xr3:uid="{4A339AEA-3BD6-4D4D-8702-4801572003BE}" uniqueName="6" name="Revenue" queryTableFieldId="6" dataDxfId="3"/>
    <tableColumn id="3" xr3:uid="{14F631EA-ABCF-48F4-9515-E9619AD09904}" uniqueName="3" name="Source" queryTableFieldId="15"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69946-2DF9-40EA-B00D-B844B36BF7AC}">
  <dimension ref="E6:AI20"/>
  <sheetViews>
    <sheetView zoomScale="84" workbookViewId="0">
      <selection activeCell="D32" sqref="D32"/>
    </sheetView>
  </sheetViews>
  <sheetFormatPr defaultRowHeight="15" x14ac:dyDescent="0.25"/>
  <cols>
    <col min="1" max="4" width="9.140625" style="10"/>
    <col min="5" max="5" width="8" style="10" bestFit="1" customWidth="1"/>
    <col min="6" max="6" width="7.85546875" style="10" bestFit="1" customWidth="1"/>
    <col min="7" max="34" width="9.140625" style="10"/>
    <col min="35" max="35" width="13.140625" style="10" bestFit="1" customWidth="1"/>
    <col min="36" max="16384" width="9.140625" style="10"/>
  </cols>
  <sheetData>
    <row r="6" spans="5:35" x14ac:dyDescent="0.25">
      <c r="E6" s="6" t="s">
        <v>290</v>
      </c>
      <c r="F6" t="s">
        <v>286</v>
      </c>
    </row>
    <row r="16" spans="5:35" x14ac:dyDescent="0.25">
      <c r="AI16" s="10" t="s">
        <v>287</v>
      </c>
    </row>
    <row r="17" spans="35:35" x14ac:dyDescent="0.25">
      <c r="AI17" s="10">
        <f>GETPIVOTDATA("Sum of Units ",Pivot!$K$3)</f>
        <v>2392</v>
      </c>
    </row>
    <row r="18" spans="35:35" x14ac:dyDescent="0.25">
      <c r="AI18" s="10" t="s">
        <v>288</v>
      </c>
    </row>
    <row r="19" spans="35:35" x14ac:dyDescent="0.25">
      <c r="AI19" s="10" t="s">
        <v>289</v>
      </c>
    </row>
    <row r="20" spans="35:35" x14ac:dyDescent="0.25">
      <c r="AI20" s="10">
        <f>GETPIVOTDATA("Sum of Revenue",Pivot!$K$3)</f>
        <v>1782543.1600000001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7C2B-DC84-49B2-8CDE-21143EE5A8E6}">
  <dimension ref="A3:P147"/>
  <sheetViews>
    <sheetView zoomScale="60" workbookViewId="0">
      <selection activeCell="K14" sqref="K14:L14"/>
    </sheetView>
  </sheetViews>
  <sheetFormatPr defaultRowHeight="15" x14ac:dyDescent="0.25"/>
  <cols>
    <col min="1" max="1" width="14.5703125" bestFit="1" customWidth="1"/>
    <col min="2" max="2" width="15.5703125" bestFit="1" customWidth="1"/>
    <col min="3" max="5" width="15.5703125" customWidth="1"/>
    <col min="7" max="7" width="25.5703125" bestFit="1" customWidth="1"/>
    <col min="8" max="8" width="15.5703125" bestFit="1" customWidth="1"/>
    <col min="11" max="11" width="5.28515625" bestFit="1" customWidth="1"/>
    <col min="12" max="12" width="7.28515625" bestFit="1" customWidth="1"/>
    <col min="13" max="13" width="15.5703125" bestFit="1" customWidth="1"/>
    <col min="15" max="15" width="41.5703125" bestFit="1" customWidth="1"/>
    <col min="16" max="16" width="15.5703125" bestFit="1" customWidth="1"/>
  </cols>
  <sheetData>
    <row r="3" spans="1:16" x14ac:dyDescent="0.25">
      <c r="A3" s="6" t="s">
        <v>225</v>
      </c>
      <c r="B3" t="s">
        <v>283</v>
      </c>
      <c r="D3" t="s">
        <v>24</v>
      </c>
      <c r="E3" t="s">
        <v>282</v>
      </c>
      <c r="G3" s="6" t="s">
        <v>225</v>
      </c>
      <c r="H3" t="s">
        <v>283</v>
      </c>
      <c r="K3" s="6" t="s">
        <v>225</v>
      </c>
      <c r="L3" t="s">
        <v>285</v>
      </c>
      <c r="M3" t="s">
        <v>283</v>
      </c>
      <c r="O3" s="6" t="s">
        <v>225</v>
      </c>
      <c r="P3" t="s">
        <v>283</v>
      </c>
    </row>
    <row r="4" spans="1:16" x14ac:dyDescent="0.25">
      <c r="A4" s="7" t="s">
        <v>53</v>
      </c>
      <c r="B4" s="8">
        <v>1893.2199999999998</v>
      </c>
      <c r="C4" s="8"/>
      <c r="D4" s="8"/>
      <c r="E4" s="8"/>
      <c r="G4" s="7" t="s">
        <v>235</v>
      </c>
      <c r="H4" s="8">
        <v>49018.7</v>
      </c>
      <c r="K4" s="7" t="s">
        <v>27</v>
      </c>
      <c r="L4" s="11">
        <v>1072</v>
      </c>
      <c r="M4" s="8">
        <v>1320791.33</v>
      </c>
      <c r="O4" s="7" t="s">
        <v>291</v>
      </c>
      <c r="P4" s="8">
        <v>327.42</v>
      </c>
    </row>
    <row r="5" spans="1:16" x14ac:dyDescent="0.25">
      <c r="A5" s="7" t="s">
        <v>61</v>
      </c>
      <c r="B5" s="8">
        <v>1316.0900000000001</v>
      </c>
      <c r="C5" s="8"/>
      <c r="D5" s="8"/>
      <c r="E5" s="8"/>
      <c r="G5" s="7" t="s">
        <v>202</v>
      </c>
      <c r="H5" s="8">
        <v>5274.1800000000021</v>
      </c>
      <c r="K5" s="7" t="s">
        <v>103</v>
      </c>
      <c r="L5" s="11">
        <v>118</v>
      </c>
      <c r="M5" s="8">
        <v>59397</v>
      </c>
      <c r="O5" s="7" t="s">
        <v>134</v>
      </c>
      <c r="P5" s="8">
        <v>20178.16</v>
      </c>
    </row>
    <row r="6" spans="1:16" x14ac:dyDescent="0.25">
      <c r="A6" s="7" t="s">
        <v>30</v>
      </c>
      <c r="B6" s="8">
        <v>64541.52</v>
      </c>
      <c r="C6" s="8"/>
      <c r="D6" s="8"/>
      <c r="E6" s="8"/>
      <c r="G6" s="7" t="s">
        <v>224</v>
      </c>
      <c r="H6" s="8">
        <v>18232</v>
      </c>
      <c r="K6" s="7" t="s">
        <v>31</v>
      </c>
      <c r="L6" s="11">
        <v>20</v>
      </c>
      <c r="M6" s="8">
        <v>67750.83</v>
      </c>
      <c r="O6" s="7" t="s">
        <v>251</v>
      </c>
      <c r="P6" s="8">
        <v>7450.88</v>
      </c>
    </row>
    <row r="7" spans="1:16" x14ac:dyDescent="0.25">
      <c r="A7" s="7" t="s">
        <v>167</v>
      </c>
      <c r="B7" s="8">
        <v>1249</v>
      </c>
      <c r="C7" s="8"/>
      <c r="D7" s="8"/>
      <c r="E7" s="8"/>
      <c r="G7" s="7" t="s">
        <v>206</v>
      </c>
      <c r="H7" s="8">
        <v>3276.1400000000012</v>
      </c>
      <c r="K7" s="7" t="s">
        <v>34</v>
      </c>
      <c r="L7" s="11">
        <v>630</v>
      </c>
      <c r="M7" s="8">
        <v>126458.69999999998</v>
      </c>
      <c r="O7" s="7" t="s">
        <v>264</v>
      </c>
      <c r="P7" s="8">
        <v>0.01</v>
      </c>
    </row>
    <row r="8" spans="1:16" x14ac:dyDescent="0.25">
      <c r="A8" s="7" t="s">
        <v>78</v>
      </c>
      <c r="B8" s="8">
        <v>1631.3600000000001</v>
      </c>
      <c r="C8" s="8"/>
      <c r="D8" s="8"/>
      <c r="E8" s="8"/>
      <c r="G8" s="7" t="s">
        <v>238</v>
      </c>
      <c r="H8" s="8">
        <v>27956.47</v>
      </c>
      <c r="K8" s="7" t="s">
        <v>199</v>
      </c>
      <c r="L8" s="11">
        <v>94</v>
      </c>
      <c r="M8" s="8">
        <v>22736.799999999974</v>
      </c>
      <c r="O8" s="7" t="s">
        <v>241</v>
      </c>
      <c r="P8" s="8">
        <v>20957.600000000002</v>
      </c>
    </row>
    <row r="9" spans="1:16" x14ac:dyDescent="0.25">
      <c r="A9" s="7" t="s">
        <v>84</v>
      </c>
      <c r="B9" s="8">
        <v>1489.84</v>
      </c>
      <c r="C9" s="8"/>
      <c r="D9" s="8"/>
      <c r="E9" s="8"/>
      <c r="G9" s="7" t="s">
        <v>234</v>
      </c>
      <c r="H9" s="8">
        <v>77440</v>
      </c>
      <c r="K9" s="7" t="s">
        <v>32</v>
      </c>
      <c r="L9" s="11">
        <v>458</v>
      </c>
      <c r="M9" s="8">
        <v>185408.49999999997</v>
      </c>
      <c r="O9" s="7" t="s">
        <v>292</v>
      </c>
      <c r="P9" s="8">
        <v>2095.7600000000002</v>
      </c>
    </row>
    <row r="10" spans="1:16" x14ac:dyDescent="0.25">
      <c r="A10" s="7" t="s">
        <v>105</v>
      </c>
      <c r="B10" s="8">
        <v>4997.8500000000004</v>
      </c>
      <c r="C10" s="8"/>
      <c r="D10" s="8"/>
      <c r="E10" s="8"/>
      <c r="G10" s="7" t="s">
        <v>214</v>
      </c>
      <c r="H10" s="8">
        <v>3510.1500000000015</v>
      </c>
      <c r="K10" s="7" t="s">
        <v>226</v>
      </c>
      <c r="L10" s="11">
        <v>2392</v>
      </c>
      <c r="M10" s="8">
        <v>1782543.1600000001</v>
      </c>
      <c r="O10" s="7" t="s">
        <v>270</v>
      </c>
      <c r="P10" s="8">
        <v>14671.170000000002</v>
      </c>
    </row>
    <row r="11" spans="1:16" x14ac:dyDescent="0.25">
      <c r="A11" s="7" t="s">
        <v>46</v>
      </c>
      <c r="B11" s="8">
        <v>5074.5600000000004</v>
      </c>
      <c r="C11" s="8"/>
      <c r="D11" s="8"/>
      <c r="E11" s="8"/>
      <c r="G11" s="7" t="s">
        <v>198</v>
      </c>
      <c r="H11" s="8">
        <v>3978.1700000000019</v>
      </c>
      <c r="O11" s="7" t="s">
        <v>293</v>
      </c>
      <c r="P11" s="8">
        <v>4193.22</v>
      </c>
    </row>
    <row r="12" spans="1:16" x14ac:dyDescent="0.25">
      <c r="A12" s="7" t="s">
        <v>54</v>
      </c>
      <c r="B12" s="8">
        <v>2020.32</v>
      </c>
      <c r="C12" s="8"/>
      <c r="D12" s="8"/>
      <c r="E12" s="8"/>
      <c r="G12" s="7" t="s">
        <v>227</v>
      </c>
      <c r="H12" s="8">
        <v>895102.98999999987</v>
      </c>
      <c r="O12" s="7" t="s">
        <v>232</v>
      </c>
      <c r="P12" s="8">
        <v>94321.17</v>
      </c>
    </row>
    <row r="13" spans="1:16" x14ac:dyDescent="0.25">
      <c r="A13" s="7" t="s">
        <v>68</v>
      </c>
      <c r="B13" s="8">
        <v>400.84</v>
      </c>
      <c r="C13" s="8"/>
      <c r="D13" s="8"/>
      <c r="E13" s="8"/>
      <c r="G13" s="7" t="s">
        <v>211</v>
      </c>
      <c r="H13" s="8">
        <v>2954</v>
      </c>
      <c r="O13" s="7" t="s">
        <v>133</v>
      </c>
      <c r="P13" s="8">
        <v>15698</v>
      </c>
    </row>
    <row r="14" spans="1:16" x14ac:dyDescent="0.25">
      <c r="A14" s="7" t="s">
        <v>85</v>
      </c>
      <c r="B14" s="8">
        <v>981.36</v>
      </c>
      <c r="C14" s="8"/>
      <c r="D14" s="8"/>
      <c r="E14" s="8"/>
      <c r="G14" s="7" t="s">
        <v>272</v>
      </c>
      <c r="H14" s="8">
        <v>40917.449999999997</v>
      </c>
      <c r="K14" s="6" t="s">
        <v>24</v>
      </c>
      <c r="L14" t="s">
        <v>286</v>
      </c>
      <c r="O14" s="7" t="s">
        <v>237</v>
      </c>
      <c r="P14" s="8">
        <v>12711.84</v>
      </c>
    </row>
    <row r="15" spans="1:16" x14ac:dyDescent="0.25">
      <c r="A15" s="7" t="s">
        <v>71</v>
      </c>
      <c r="B15" s="8">
        <v>0</v>
      </c>
      <c r="C15" s="8"/>
      <c r="D15" s="8"/>
      <c r="E15" s="8"/>
      <c r="G15" s="7" t="s">
        <v>218</v>
      </c>
      <c r="H15" s="8">
        <v>2398</v>
      </c>
      <c r="O15" s="7" t="s">
        <v>294</v>
      </c>
      <c r="P15" s="8">
        <v>0</v>
      </c>
    </row>
    <row r="16" spans="1:16" x14ac:dyDescent="0.25">
      <c r="A16" s="7" t="s">
        <v>77</v>
      </c>
      <c r="B16" s="8">
        <v>2336.4499999999998</v>
      </c>
      <c r="C16" s="8"/>
      <c r="D16" s="8"/>
      <c r="E16" s="8"/>
      <c r="G16" s="7" t="s">
        <v>281</v>
      </c>
      <c r="H16" s="8">
        <v>26681</v>
      </c>
      <c r="O16" s="7" t="s">
        <v>243</v>
      </c>
      <c r="P16" s="8">
        <v>6355.92</v>
      </c>
    </row>
    <row r="17" spans="1:16" x14ac:dyDescent="0.25">
      <c r="A17" s="7" t="s">
        <v>80</v>
      </c>
      <c r="B17" s="8">
        <v>2898.29</v>
      </c>
      <c r="C17" s="8"/>
      <c r="D17" s="8"/>
      <c r="E17" s="8"/>
      <c r="G17" s="7" t="s">
        <v>231</v>
      </c>
      <c r="H17" s="8">
        <v>117090.94</v>
      </c>
      <c r="O17" s="7" t="s">
        <v>229</v>
      </c>
      <c r="P17" s="8">
        <v>68326.14</v>
      </c>
    </row>
    <row r="18" spans="1:16" x14ac:dyDescent="0.25">
      <c r="A18" s="7" t="s">
        <v>57</v>
      </c>
      <c r="B18" s="8">
        <v>1114.4000000000001</v>
      </c>
      <c r="C18" s="8"/>
      <c r="D18" s="8"/>
      <c r="E18" s="8"/>
      <c r="G18" s="7" t="s">
        <v>209</v>
      </c>
      <c r="H18" s="8">
        <v>3744.1600000000017</v>
      </c>
      <c r="O18" s="7" t="s">
        <v>244</v>
      </c>
      <c r="P18" s="8">
        <v>3176.28</v>
      </c>
    </row>
    <row r="19" spans="1:16" x14ac:dyDescent="0.25">
      <c r="A19" s="7" t="s">
        <v>98</v>
      </c>
      <c r="B19" s="8">
        <v>0</v>
      </c>
      <c r="C19" s="8"/>
      <c r="D19" s="8"/>
      <c r="E19" s="8"/>
      <c r="G19" s="7" t="s">
        <v>204</v>
      </c>
      <c r="H19" s="8">
        <v>111006.02</v>
      </c>
      <c r="O19" s="7" t="s">
        <v>269</v>
      </c>
      <c r="P19" s="8">
        <v>5601.71</v>
      </c>
    </row>
    <row r="20" spans="1:16" x14ac:dyDescent="0.25">
      <c r="A20" s="7" t="s">
        <v>64</v>
      </c>
      <c r="B20" s="8">
        <v>190.68</v>
      </c>
      <c r="C20" s="8"/>
      <c r="D20" s="8"/>
      <c r="E20" s="8"/>
      <c r="G20" s="7" t="s">
        <v>223</v>
      </c>
      <c r="H20" s="8">
        <v>41165</v>
      </c>
      <c r="O20" s="7" t="s">
        <v>295</v>
      </c>
      <c r="P20" s="8">
        <v>1397.46</v>
      </c>
    </row>
    <row r="21" spans="1:16" x14ac:dyDescent="0.25">
      <c r="A21" s="7" t="s">
        <v>38</v>
      </c>
      <c r="B21" s="8">
        <v>6851.84</v>
      </c>
      <c r="C21" s="8"/>
      <c r="D21" s="8"/>
      <c r="E21" s="8"/>
      <c r="G21" s="7" t="s">
        <v>280</v>
      </c>
      <c r="H21" s="8">
        <v>44146.5</v>
      </c>
      <c r="O21" s="7" t="s">
        <v>230</v>
      </c>
      <c r="P21" s="8">
        <v>37699.999999999993</v>
      </c>
    </row>
    <row r="22" spans="1:16" x14ac:dyDescent="0.25">
      <c r="A22" s="7" t="s">
        <v>81</v>
      </c>
      <c r="B22" s="8">
        <v>139.83000000000001</v>
      </c>
      <c r="C22" s="8"/>
      <c r="D22" s="8"/>
      <c r="E22" s="8"/>
      <c r="G22" s="7" t="s">
        <v>239</v>
      </c>
      <c r="H22" s="8">
        <v>24171.05999999999</v>
      </c>
      <c r="O22" s="7" t="s">
        <v>267</v>
      </c>
      <c r="P22" s="8">
        <v>0</v>
      </c>
    </row>
    <row r="23" spans="1:16" x14ac:dyDescent="0.25">
      <c r="A23" s="7" t="s">
        <v>59</v>
      </c>
      <c r="B23" s="8">
        <v>381.36</v>
      </c>
      <c r="C23" s="8"/>
      <c r="D23" s="8"/>
      <c r="E23" s="8"/>
      <c r="G23" s="7" t="s">
        <v>249</v>
      </c>
      <c r="H23" s="8">
        <v>1016.1</v>
      </c>
      <c r="O23" s="7" t="s">
        <v>228</v>
      </c>
      <c r="P23" s="8">
        <v>598112.88</v>
      </c>
    </row>
    <row r="24" spans="1:16" x14ac:dyDescent="0.25">
      <c r="A24" s="7" t="s">
        <v>58</v>
      </c>
      <c r="B24" s="8">
        <v>749.16</v>
      </c>
      <c r="C24" s="8"/>
      <c r="D24" s="8"/>
      <c r="E24" s="8"/>
      <c r="G24" s="7" t="s">
        <v>233</v>
      </c>
      <c r="H24" s="8">
        <v>215713.30000000002</v>
      </c>
      <c r="O24" s="7" t="s">
        <v>245</v>
      </c>
      <c r="P24" s="8">
        <v>5589.84</v>
      </c>
    </row>
    <row r="25" spans="1:16" x14ac:dyDescent="0.25">
      <c r="A25" s="7" t="s">
        <v>138</v>
      </c>
      <c r="B25" s="8">
        <v>925</v>
      </c>
      <c r="C25" s="8"/>
      <c r="D25" s="8"/>
      <c r="E25" s="8"/>
      <c r="G25" s="7" t="s">
        <v>284</v>
      </c>
      <c r="H25" s="8">
        <v>67750.83</v>
      </c>
      <c r="O25" s="7" t="s">
        <v>296</v>
      </c>
      <c r="P25" s="8">
        <v>1694.07</v>
      </c>
    </row>
    <row r="26" spans="1:16" x14ac:dyDescent="0.25">
      <c r="A26" s="7" t="s">
        <v>140</v>
      </c>
      <c r="B26" s="8">
        <v>4095</v>
      </c>
      <c r="C26" s="8"/>
      <c r="D26" s="8"/>
      <c r="E26" s="8"/>
      <c r="G26" s="7" t="s">
        <v>226</v>
      </c>
      <c r="H26" s="8">
        <v>1782543.16</v>
      </c>
      <c r="O26" s="7" t="s">
        <v>297</v>
      </c>
      <c r="P26" s="8">
        <v>2965.25</v>
      </c>
    </row>
    <row r="27" spans="1:16" x14ac:dyDescent="0.25">
      <c r="A27" s="7" t="s">
        <v>142</v>
      </c>
      <c r="B27" s="8">
        <v>409</v>
      </c>
      <c r="C27" s="8"/>
      <c r="D27" s="8"/>
      <c r="E27" s="8"/>
      <c r="O27" s="7" t="s">
        <v>298</v>
      </c>
      <c r="P27" s="8">
        <v>11858.48</v>
      </c>
    </row>
    <row r="28" spans="1:16" x14ac:dyDescent="0.25">
      <c r="A28" s="7" t="s">
        <v>181</v>
      </c>
      <c r="B28" s="8">
        <v>1227</v>
      </c>
      <c r="C28" s="8"/>
      <c r="D28" s="8"/>
      <c r="E28" s="8"/>
      <c r="K28" s="6" t="s">
        <v>225</v>
      </c>
      <c r="L28" t="s">
        <v>285</v>
      </c>
      <c r="M28" t="s">
        <v>283</v>
      </c>
      <c r="O28" s="7" t="s">
        <v>299</v>
      </c>
      <c r="P28" s="8">
        <v>1694.07</v>
      </c>
    </row>
    <row r="29" spans="1:16" x14ac:dyDescent="0.25">
      <c r="A29" s="7" t="s">
        <v>169</v>
      </c>
      <c r="B29" s="8">
        <v>1798</v>
      </c>
      <c r="C29" s="8"/>
      <c r="D29" s="8"/>
      <c r="E29" s="8"/>
      <c r="K29" s="7" t="s">
        <v>27</v>
      </c>
      <c r="L29" s="11">
        <v>1072</v>
      </c>
      <c r="M29" s="8">
        <v>1320791.33</v>
      </c>
      <c r="O29" s="7" t="s">
        <v>300</v>
      </c>
      <c r="P29" s="8">
        <v>0</v>
      </c>
    </row>
    <row r="30" spans="1:16" x14ac:dyDescent="0.25">
      <c r="A30" s="7" t="s">
        <v>171</v>
      </c>
      <c r="B30" s="8">
        <v>5394</v>
      </c>
      <c r="C30" s="8"/>
      <c r="D30" s="8"/>
      <c r="E30" s="8"/>
      <c r="K30" s="7" t="s">
        <v>103</v>
      </c>
      <c r="L30" s="11">
        <v>118</v>
      </c>
      <c r="M30" s="8">
        <v>59397</v>
      </c>
      <c r="O30" s="7" t="s">
        <v>273</v>
      </c>
      <c r="P30" s="8">
        <v>2031.3600000000001</v>
      </c>
    </row>
    <row r="31" spans="1:16" x14ac:dyDescent="0.25">
      <c r="A31" s="7" t="s">
        <v>173</v>
      </c>
      <c r="B31" s="8">
        <v>8091</v>
      </c>
      <c r="C31" s="8"/>
      <c r="D31" s="8"/>
      <c r="E31" s="8"/>
      <c r="K31" s="7" t="s">
        <v>31</v>
      </c>
      <c r="L31" s="11">
        <v>20</v>
      </c>
      <c r="M31" s="8">
        <v>67750.83</v>
      </c>
      <c r="O31" s="7" t="s">
        <v>163</v>
      </c>
      <c r="P31" s="8">
        <v>9990</v>
      </c>
    </row>
    <row r="32" spans="1:16" x14ac:dyDescent="0.25">
      <c r="A32" s="7" t="s">
        <v>193</v>
      </c>
      <c r="B32" s="8">
        <v>775</v>
      </c>
      <c r="C32" s="8"/>
      <c r="D32" s="8"/>
      <c r="E32" s="8"/>
      <c r="K32" s="7" t="s">
        <v>34</v>
      </c>
      <c r="L32" s="11">
        <v>630</v>
      </c>
      <c r="M32" s="8">
        <v>126458.69999999998</v>
      </c>
      <c r="O32" s="7" t="s">
        <v>165</v>
      </c>
      <c r="P32" s="8">
        <v>7992</v>
      </c>
    </row>
    <row r="33" spans="1:16" x14ac:dyDescent="0.25">
      <c r="A33" s="7" t="s">
        <v>93</v>
      </c>
      <c r="B33" s="8">
        <v>2369.4900000000002</v>
      </c>
      <c r="C33" s="8"/>
      <c r="D33" s="8"/>
      <c r="E33" s="8"/>
      <c r="K33" s="7" t="s">
        <v>199</v>
      </c>
      <c r="L33" s="11">
        <v>94</v>
      </c>
      <c r="M33" s="8">
        <v>22736.799999999974</v>
      </c>
      <c r="O33" s="7" t="s">
        <v>301</v>
      </c>
      <c r="P33" s="8">
        <v>846.61</v>
      </c>
    </row>
    <row r="34" spans="1:16" x14ac:dyDescent="0.25">
      <c r="A34" s="7" t="s">
        <v>12</v>
      </c>
      <c r="B34" s="8">
        <v>58127.060000000005</v>
      </c>
      <c r="C34" s="8"/>
      <c r="D34" s="8"/>
      <c r="E34" s="8"/>
      <c r="K34" s="7" t="s">
        <v>32</v>
      </c>
      <c r="L34" s="11">
        <v>458</v>
      </c>
      <c r="M34" s="8">
        <v>185408.49999999997</v>
      </c>
      <c r="O34" s="7" t="s">
        <v>192</v>
      </c>
      <c r="P34" s="8">
        <v>1845.6100000000001</v>
      </c>
    </row>
    <row r="35" spans="1:16" x14ac:dyDescent="0.25">
      <c r="A35" s="7" t="s">
        <v>86</v>
      </c>
      <c r="B35" s="8">
        <v>1635.5900000000001</v>
      </c>
      <c r="C35" s="8"/>
      <c r="D35" s="8"/>
      <c r="E35" s="8"/>
      <c r="K35" s="7" t="s">
        <v>226</v>
      </c>
      <c r="L35" s="11">
        <v>2392</v>
      </c>
      <c r="M35" s="8">
        <v>1782543.1600000001</v>
      </c>
      <c r="O35" s="7" t="s">
        <v>137</v>
      </c>
      <c r="P35" s="8">
        <v>26681</v>
      </c>
    </row>
    <row r="36" spans="1:16" x14ac:dyDescent="0.25">
      <c r="A36" s="7" t="s">
        <v>1</v>
      </c>
      <c r="B36" s="8">
        <v>39344.03</v>
      </c>
      <c r="C36" s="8"/>
      <c r="D36" s="8"/>
      <c r="E36" s="8"/>
      <c r="O36" s="7" t="s">
        <v>250</v>
      </c>
      <c r="P36" s="8">
        <v>1016.1</v>
      </c>
    </row>
    <row r="37" spans="1:16" x14ac:dyDescent="0.25">
      <c r="A37" s="7" t="s">
        <v>94</v>
      </c>
      <c r="B37" s="8">
        <v>495.77</v>
      </c>
      <c r="C37" s="8"/>
      <c r="D37" s="8"/>
      <c r="E37" s="8"/>
      <c r="O37" s="7" t="s">
        <v>197</v>
      </c>
      <c r="P37" s="8">
        <v>11448.830000000002</v>
      </c>
    </row>
    <row r="38" spans="1:16" x14ac:dyDescent="0.25">
      <c r="A38" s="7" t="s">
        <v>66</v>
      </c>
      <c r="B38" s="8">
        <v>1091.56</v>
      </c>
      <c r="C38" s="8"/>
      <c r="D38" s="8"/>
      <c r="E38" s="8"/>
      <c r="O38" s="7" t="s">
        <v>188</v>
      </c>
      <c r="P38" s="8">
        <v>2072.92</v>
      </c>
    </row>
    <row r="39" spans="1:16" x14ac:dyDescent="0.25">
      <c r="A39" s="7" t="s">
        <v>52</v>
      </c>
      <c r="B39" s="8">
        <v>1886.43</v>
      </c>
      <c r="C39" s="8"/>
      <c r="D39" s="8"/>
      <c r="E39" s="8"/>
      <c r="O39" s="7" t="s">
        <v>274</v>
      </c>
      <c r="P39" s="8">
        <v>1515.24</v>
      </c>
    </row>
    <row r="40" spans="1:16" x14ac:dyDescent="0.25">
      <c r="A40" s="7" t="s">
        <v>102</v>
      </c>
      <c r="B40" s="8">
        <v>0</v>
      </c>
      <c r="C40" s="8"/>
      <c r="D40" s="8"/>
      <c r="E40" s="8"/>
      <c r="O40" s="7" t="s">
        <v>187</v>
      </c>
      <c r="P40" s="8">
        <v>5211.67</v>
      </c>
    </row>
    <row r="41" spans="1:16" x14ac:dyDescent="0.25">
      <c r="A41" s="7" t="s">
        <v>145</v>
      </c>
      <c r="B41" s="8">
        <v>3597</v>
      </c>
      <c r="C41" s="8"/>
      <c r="D41" s="8"/>
      <c r="E41" s="8"/>
      <c r="O41" s="7" t="s">
        <v>177</v>
      </c>
      <c r="P41" s="8">
        <v>6136.96</v>
      </c>
    </row>
    <row r="42" spans="1:16" x14ac:dyDescent="0.25">
      <c r="A42" s="7" t="s">
        <v>175</v>
      </c>
      <c r="B42" s="8">
        <v>409</v>
      </c>
      <c r="C42" s="8"/>
      <c r="D42" s="8"/>
      <c r="E42" s="8"/>
      <c r="O42" s="7" t="s">
        <v>266</v>
      </c>
      <c r="P42" s="8">
        <v>7622.0399999999991</v>
      </c>
    </row>
    <row r="43" spans="1:16" x14ac:dyDescent="0.25">
      <c r="A43" s="7" t="s">
        <v>60</v>
      </c>
      <c r="B43" s="8">
        <v>1779.6599999999999</v>
      </c>
      <c r="C43" s="8"/>
      <c r="D43" s="8"/>
      <c r="E43" s="8"/>
      <c r="O43" s="7" t="s">
        <v>254</v>
      </c>
      <c r="P43" s="8">
        <v>757.62</v>
      </c>
    </row>
    <row r="44" spans="1:16" x14ac:dyDescent="0.25">
      <c r="A44" s="7" t="s">
        <v>62</v>
      </c>
      <c r="B44" s="8">
        <v>299.14999999999998</v>
      </c>
      <c r="C44" s="8"/>
      <c r="D44" s="8"/>
      <c r="E44" s="8"/>
      <c r="O44" s="7" t="s">
        <v>151</v>
      </c>
      <c r="P44" s="8">
        <v>2591.21</v>
      </c>
    </row>
    <row r="45" spans="1:16" x14ac:dyDescent="0.25">
      <c r="A45" s="7" t="s">
        <v>65</v>
      </c>
      <c r="B45" s="8">
        <v>1332.73</v>
      </c>
      <c r="C45" s="8"/>
      <c r="D45" s="8"/>
      <c r="E45" s="8"/>
      <c r="O45" s="7" t="s">
        <v>125</v>
      </c>
      <c r="P45" s="8">
        <v>30395.08</v>
      </c>
    </row>
    <row r="46" spans="1:16" x14ac:dyDescent="0.25">
      <c r="A46" s="7" t="s">
        <v>123</v>
      </c>
      <c r="B46" s="8">
        <v>13615</v>
      </c>
      <c r="C46" s="8"/>
      <c r="D46" s="8"/>
      <c r="E46" s="8"/>
      <c r="O46" s="7" t="s">
        <v>154</v>
      </c>
      <c r="P46" s="8">
        <v>10876.97</v>
      </c>
    </row>
    <row r="47" spans="1:16" x14ac:dyDescent="0.25">
      <c r="A47" s="7" t="s">
        <v>63</v>
      </c>
      <c r="B47" s="8">
        <v>754.26</v>
      </c>
      <c r="C47" s="8"/>
      <c r="D47" s="8"/>
      <c r="E47" s="8"/>
      <c r="O47" s="7" t="s">
        <v>302</v>
      </c>
      <c r="P47" s="8">
        <v>0</v>
      </c>
    </row>
    <row r="48" spans="1:16" x14ac:dyDescent="0.25">
      <c r="A48" s="7" t="s">
        <v>89</v>
      </c>
      <c r="B48" s="8">
        <v>444.07</v>
      </c>
      <c r="C48" s="8"/>
      <c r="D48" s="8"/>
      <c r="E48" s="8"/>
      <c r="O48" s="7" t="s">
        <v>153</v>
      </c>
      <c r="P48" s="8">
        <v>1977.72</v>
      </c>
    </row>
    <row r="49" spans="1:16" x14ac:dyDescent="0.25">
      <c r="A49" s="7" t="s">
        <v>74</v>
      </c>
      <c r="B49" s="8">
        <v>218.64</v>
      </c>
      <c r="C49" s="8"/>
      <c r="D49" s="8"/>
      <c r="E49" s="8"/>
      <c r="O49" s="7" t="s">
        <v>247</v>
      </c>
      <c r="P49" s="8">
        <v>2269.5</v>
      </c>
    </row>
    <row r="50" spans="1:16" x14ac:dyDescent="0.25">
      <c r="A50" s="7" t="s">
        <v>79</v>
      </c>
      <c r="B50" s="8">
        <v>225.42</v>
      </c>
      <c r="C50" s="8"/>
      <c r="D50" s="8"/>
      <c r="E50" s="8"/>
      <c r="O50" s="7" t="s">
        <v>303</v>
      </c>
      <c r="P50" s="8">
        <v>5079.66</v>
      </c>
    </row>
    <row r="51" spans="1:16" x14ac:dyDescent="0.25">
      <c r="A51" s="7" t="s">
        <v>33</v>
      </c>
      <c r="B51" s="8">
        <v>132946.16999999998</v>
      </c>
      <c r="C51" s="8"/>
      <c r="D51" s="8"/>
      <c r="E51" s="8"/>
      <c r="O51" s="7" t="s">
        <v>166</v>
      </c>
      <c r="P51" s="8">
        <v>10390.969999999999</v>
      </c>
    </row>
    <row r="52" spans="1:16" x14ac:dyDescent="0.25">
      <c r="A52" s="7" t="s">
        <v>43</v>
      </c>
      <c r="B52" s="8">
        <v>16230.92</v>
      </c>
      <c r="C52" s="8"/>
      <c r="D52" s="8"/>
      <c r="E52" s="8"/>
      <c r="O52" s="7" t="s">
        <v>236</v>
      </c>
      <c r="P52" s="8">
        <v>9304.27</v>
      </c>
    </row>
    <row r="53" spans="1:16" x14ac:dyDescent="0.25">
      <c r="A53" s="7" t="s">
        <v>37</v>
      </c>
      <c r="B53" s="8">
        <v>14686.84</v>
      </c>
      <c r="C53" s="8"/>
      <c r="D53" s="8"/>
      <c r="E53" s="8"/>
      <c r="O53" s="7" t="s">
        <v>248</v>
      </c>
      <c r="P53" s="8">
        <v>4403.3900000000003</v>
      </c>
    </row>
    <row r="54" spans="1:16" x14ac:dyDescent="0.25">
      <c r="A54" s="7" t="s">
        <v>73</v>
      </c>
      <c r="B54" s="8">
        <v>30121.170000000002</v>
      </c>
      <c r="C54" s="8"/>
      <c r="D54" s="8"/>
      <c r="E54" s="8"/>
      <c r="O54" s="7" t="s">
        <v>150</v>
      </c>
      <c r="P54" s="8">
        <v>18904.679999999997</v>
      </c>
    </row>
    <row r="55" spans="1:16" x14ac:dyDescent="0.25">
      <c r="A55" s="7" t="s">
        <v>28</v>
      </c>
      <c r="B55" s="8">
        <v>80176.160000000003</v>
      </c>
      <c r="C55" s="8"/>
      <c r="D55" s="8"/>
      <c r="E55" s="8"/>
      <c r="O55" s="7" t="s">
        <v>242</v>
      </c>
      <c r="P55" s="8">
        <v>6519.52</v>
      </c>
    </row>
    <row r="56" spans="1:16" x14ac:dyDescent="0.25">
      <c r="A56" s="7" t="s">
        <v>40</v>
      </c>
      <c r="B56" s="8">
        <v>20957.600000000002</v>
      </c>
      <c r="C56" s="8"/>
      <c r="D56" s="8"/>
      <c r="E56" s="8"/>
      <c r="O56" s="7" t="s">
        <v>152</v>
      </c>
      <c r="P56" s="8">
        <v>1377</v>
      </c>
    </row>
    <row r="57" spans="1:16" x14ac:dyDescent="0.25">
      <c r="A57" s="7" t="s">
        <v>29</v>
      </c>
      <c r="B57" s="8">
        <v>39448.999999999993</v>
      </c>
      <c r="C57" s="8"/>
      <c r="D57" s="8"/>
      <c r="E57" s="8"/>
      <c r="O57" s="7" t="s">
        <v>304</v>
      </c>
      <c r="P57" s="8">
        <v>1439.83</v>
      </c>
    </row>
    <row r="58" spans="1:16" x14ac:dyDescent="0.25">
      <c r="A58" s="7" t="s">
        <v>72</v>
      </c>
      <c r="B58" s="8">
        <v>5601.71</v>
      </c>
      <c r="C58" s="8"/>
      <c r="D58" s="8"/>
      <c r="E58" s="8"/>
      <c r="O58" s="7" t="s">
        <v>149</v>
      </c>
      <c r="P58" s="8">
        <v>2225</v>
      </c>
    </row>
    <row r="59" spans="1:16" x14ac:dyDescent="0.25">
      <c r="A59" s="7" t="s">
        <v>26</v>
      </c>
      <c r="B59" s="8">
        <v>629594.88</v>
      </c>
      <c r="C59" s="8"/>
      <c r="D59" s="8"/>
      <c r="E59" s="8"/>
      <c r="O59" s="7" t="s">
        <v>196</v>
      </c>
      <c r="P59" s="8">
        <v>6536.28</v>
      </c>
    </row>
    <row r="60" spans="1:16" x14ac:dyDescent="0.25">
      <c r="A60" s="7" t="s">
        <v>116</v>
      </c>
      <c r="B60" s="8">
        <v>44146.5</v>
      </c>
      <c r="C60" s="8"/>
      <c r="D60" s="8"/>
      <c r="E60" s="8"/>
      <c r="O60" s="7" t="s">
        <v>155</v>
      </c>
      <c r="P60" s="8">
        <v>3078.99</v>
      </c>
    </row>
    <row r="61" spans="1:16" x14ac:dyDescent="0.25">
      <c r="A61" s="7" t="s">
        <v>45</v>
      </c>
      <c r="B61" s="8">
        <v>5589.84</v>
      </c>
      <c r="C61" s="8"/>
      <c r="D61" s="8"/>
      <c r="E61" s="8"/>
      <c r="O61" s="7" t="s">
        <v>122</v>
      </c>
      <c r="P61" s="8">
        <v>11000.32</v>
      </c>
    </row>
    <row r="62" spans="1:16" x14ac:dyDescent="0.25">
      <c r="A62" s="7" t="s">
        <v>95</v>
      </c>
      <c r="B62" s="8">
        <v>1397.46</v>
      </c>
      <c r="C62" s="8"/>
      <c r="D62" s="8"/>
      <c r="E62" s="8"/>
      <c r="O62" s="7" t="s">
        <v>126</v>
      </c>
      <c r="P62" s="8">
        <v>28796.66</v>
      </c>
    </row>
    <row r="63" spans="1:16" x14ac:dyDescent="0.25">
      <c r="A63" s="7" t="s">
        <v>44</v>
      </c>
      <c r="B63" s="8">
        <v>3176.28</v>
      </c>
      <c r="C63" s="8"/>
      <c r="D63" s="8"/>
      <c r="E63" s="8"/>
      <c r="O63" s="7" t="s">
        <v>305</v>
      </c>
      <c r="P63" s="8">
        <v>422.03</v>
      </c>
    </row>
    <row r="64" spans="1:16" x14ac:dyDescent="0.25">
      <c r="A64" s="7" t="s">
        <v>96</v>
      </c>
      <c r="B64" s="8">
        <v>2095.7600000000002</v>
      </c>
      <c r="C64" s="8"/>
      <c r="D64" s="8"/>
      <c r="E64" s="8"/>
      <c r="O64" s="7" t="s">
        <v>306</v>
      </c>
      <c r="P64" s="8">
        <v>1520.34</v>
      </c>
    </row>
    <row r="65" spans="1:16" x14ac:dyDescent="0.25">
      <c r="A65" s="7" t="s">
        <v>97</v>
      </c>
      <c r="B65" s="8">
        <v>0</v>
      </c>
      <c r="C65" s="8"/>
      <c r="D65" s="8"/>
      <c r="E65" s="8"/>
      <c r="O65" s="7" t="s">
        <v>185</v>
      </c>
      <c r="P65" s="8">
        <v>3725</v>
      </c>
    </row>
    <row r="66" spans="1:16" x14ac:dyDescent="0.25">
      <c r="A66" s="7" t="s">
        <v>90</v>
      </c>
      <c r="B66" s="8">
        <v>4193.22</v>
      </c>
      <c r="C66" s="8"/>
      <c r="D66" s="8"/>
      <c r="E66" s="8"/>
      <c r="O66" s="7" t="s">
        <v>135</v>
      </c>
      <c r="P66" s="8">
        <v>9616.5999999999985</v>
      </c>
    </row>
    <row r="67" spans="1:16" x14ac:dyDescent="0.25">
      <c r="A67" s="7" t="s">
        <v>70</v>
      </c>
      <c r="B67" s="8">
        <v>0</v>
      </c>
      <c r="C67" s="8"/>
      <c r="D67" s="8"/>
      <c r="E67" s="8"/>
      <c r="O67" s="7" t="s">
        <v>161</v>
      </c>
      <c r="P67" s="8">
        <v>2960.02</v>
      </c>
    </row>
    <row r="68" spans="1:16" x14ac:dyDescent="0.25">
      <c r="A68" s="7" t="s">
        <v>9</v>
      </c>
      <c r="B68" s="8">
        <v>15698</v>
      </c>
      <c r="C68" s="8"/>
      <c r="D68" s="8"/>
      <c r="E68" s="8"/>
      <c r="O68" s="7" t="s">
        <v>160</v>
      </c>
      <c r="P68" s="8">
        <v>5536.98</v>
      </c>
    </row>
    <row r="69" spans="1:16" x14ac:dyDescent="0.25">
      <c r="A69" s="7" t="s">
        <v>42</v>
      </c>
      <c r="B69" s="8">
        <v>6536.28</v>
      </c>
      <c r="C69" s="8"/>
      <c r="D69" s="8"/>
      <c r="E69" s="8"/>
      <c r="O69" s="7" t="s">
        <v>179</v>
      </c>
      <c r="P69" s="8">
        <v>2097</v>
      </c>
    </row>
    <row r="70" spans="1:16" x14ac:dyDescent="0.25">
      <c r="A70" s="7" t="s">
        <v>6</v>
      </c>
      <c r="B70" s="8">
        <v>32793.08</v>
      </c>
      <c r="C70" s="8"/>
      <c r="D70" s="8"/>
      <c r="E70" s="8"/>
      <c r="O70" s="7" t="s">
        <v>190</v>
      </c>
      <c r="P70" s="8">
        <v>699</v>
      </c>
    </row>
    <row r="71" spans="1:16" x14ac:dyDescent="0.25">
      <c r="A71" s="7" t="s">
        <v>13</v>
      </c>
      <c r="B71" s="8">
        <v>2225</v>
      </c>
      <c r="C71" s="8"/>
      <c r="D71" s="8"/>
      <c r="E71" s="8"/>
      <c r="O71" s="7" t="s">
        <v>157</v>
      </c>
      <c r="P71" s="8">
        <v>1398</v>
      </c>
    </row>
    <row r="72" spans="1:16" x14ac:dyDescent="0.25">
      <c r="A72" s="7" t="s">
        <v>14</v>
      </c>
      <c r="B72" s="8">
        <v>18904.679999999997</v>
      </c>
      <c r="C72" s="8"/>
      <c r="D72" s="8"/>
      <c r="E72" s="8"/>
      <c r="O72" s="7" t="s">
        <v>219</v>
      </c>
      <c r="P72" s="8">
        <v>2398</v>
      </c>
    </row>
    <row r="73" spans="1:16" x14ac:dyDescent="0.25">
      <c r="A73" s="7" t="s">
        <v>41</v>
      </c>
      <c r="B73" s="8">
        <v>6519.52</v>
      </c>
      <c r="C73" s="8"/>
      <c r="D73" s="8"/>
      <c r="E73" s="8"/>
      <c r="O73" s="7" t="s">
        <v>221</v>
      </c>
      <c r="P73" s="8">
        <v>1975</v>
      </c>
    </row>
    <row r="74" spans="1:16" x14ac:dyDescent="0.25">
      <c r="A74" s="7" t="s">
        <v>56</v>
      </c>
      <c r="B74" s="8">
        <v>5211.67</v>
      </c>
      <c r="C74" s="8"/>
      <c r="D74" s="8"/>
      <c r="E74" s="8"/>
      <c r="O74" s="7" t="s">
        <v>205</v>
      </c>
      <c r="P74" s="8">
        <v>1749</v>
      </c>
    </row>
    <row r="75" spans="1:16" x14ac:dyDescent="0.25">
      <c r="A75" s="7" t="s">
        <v>55</v>
      </c>
      <c r="B75" s="8">
        <v>757.62</v>
      </c>
      <c r="C75" s="8"/>
      <c r="D75" s="8"/>
      <c r="E75" s="8"/>
      <c r="O75" s="7" t="s">
        <v>208</v>
      </c>
      <c r="P75" s="8">
        <v>31482</v>
      </c>
    </row>
    <row r="76" spans="1:16" x14ac:dyDescent="0.25">
      <c r="A76" s="7" t="s">
        <v>22</v>
      </c>
      <c r="B76" s="8">
        <v>10390.969999999999</v>
      </c>
      <c r="C76" s="8"/>
      <c r="D76" s="8"/>
      <c r="E76" s="8"/>
      <c r="O76" s="7" t="s">
        <v>217</v>
      </c>
      <c r="P76" s="8">
        <v>9875</v>
      </c>
    </row>
    <row r="77" spans="1:16" x14ac:dyDescent="0.25">
      <c r="A77" s="7" t="s">
        <v>48</v>
      </c>
      <c r="B77" s="8">
        <v>4403.3900000000003</v>
      </c>
      <c r="C77" s="8"/>
      <c r="D77" s="8"/>
      <c r="E77" s="8"/>
      <c r="O77" s="7" t="s">
        <v>213</v>
      </c>
      <c r="P77" s="8">
        <v>38625</v>
      </c>
    </row>
    <row r="78" spans="1:16" x14ac:dyDescent="0.25">
      <c r="A78" s="7" t="s">
        <v>47</v>
      </c>
      <c r="B78" s="8">
        <v>2269.5</v>
      </c>
      <c r="C78" s="8"/>
      <c r="D78" s="8"/>
      <c r="E78" s="8"/>
      <c r="O78" s="7" t="s">
        <v>216</v>
      </c>
      <c r="P78" s="8">
        <v>11850.02</v>
      </c>
    </row>
    <row r="79" spans="1:16" x14ac:dyDescent="0.25">
      <c r="A79" s="7" t="s">
        <v>36</v>
      </c>
      <c r="B79" s="8">
        <v>9304.27</v>
      </c>
      <c r="C79" s="8"/>
      <c r="D79" s="8"/>
      <c r="E79" s="8"/>
      <c r="O79" s="7" t="s">
        <v>220</v>
      </c>
      <c r="P79" s="8">
        <v>15450</v>
      </c>
    </row>
    <row r="80" spans="1:16" x14ac:dyDescent="0.25">
      <c r="A80" s="7" t="s">
        <v>15</v>
      </c>
      <c r="B80" s="8">
        <v>2591.21</v>
      </c>
      <c r="C80" s="8"/>
      <c r="D80" s="8"/>
      <c r="E80" s="8"/>
      <c r="O80" s="7" t="s">
        <v>307</v>
      </c>
      <c r="P80" s="8">
        <v>0</v>
      </c>
    </row>
    <row r="81" spans="1:16" x14ac:dyDescent="0.25">
      <c r="A81" s="7" t="s">
        <v>108</v>
      </c>
      <c r="B81" s="8">
        <v>0</v>
      </c>
      <c r="C81" s="8"/>
      <c r="D81" s="8"/>
      <c r="E81" s="8"/>
      <c r="O81" s="7" t="s">
        <v>194</v>
      </c>
      <c r="P81" s="8">
        <v>775</v>
      </c>
    </row>
    <row r="82" spans="1:16" x14ac:dyDescent="0.25">
      <c r="A82" s="7" t="s">
        <v>83</v>
      </c>
      <c r="B82" s="8">
        <v>5079.66</v>
      </c>
      <c r="C82" s="8"/>
      <c r="D82" s="8"/>
      <c r="E82" s="8"/>
      <c r="O82" s="7" t="s">
        <v>174</v>
      </c>
      <c r="P82" s="8">
        <v>8091</v>
      </c>
    </row>
    <row r="83" spans="1:16" x14ac:dyDescent="0.25">
      <c r="A83" s="7" t="s">
        <v>51</v>
      </c>
      <c r="B83" s="8">
        <v>2072.92</v>
      </c>
      <c r="C83" s="8"/>
      <c r="D83" s="8"/>
      <c r="E83" s="8"/>
      <c r="O83" s="7" t="s">
        <v>139</v>
      </c>
      <c r="P83" s="8">
        <v>925</v>
      </c>
    </row>
    <row r="84" spans="1:16" x14ac:dyDescent="0.25">
      <c r="A84" s="7" t="s">
        <v>39</v>
      </c>
      <c r="B84" s="8">
        <v>11448.830000000002</v>
      </c>
      <c r="C84" s="8"/>
      <c r="D84" s="8"/>
      <c r="E84" s="8"/>
      <c r="O84" s="7" t="s">
        <v>172</v>
      </c>
      <c r="P84" s="8">
        <v>5394</v>
      </c>
    </row>
    <row r="85" spans="1:16" x14ac:dyDescent="0.25">
      <c r="A85" s="7" t="s">
        <v>23</v>
      </c>
      <c r="B85" s="8">
        <v>6136.96</v>
      </c>
      <c r="C85" s="8"/>
      <c r="D85" s="8"/>
      <c r="E85" s="8"/>
      <c r="O85" s="7" t="s">
        <v>159</v>
      </c>
      <c r="P85" s="8">
        <v>1516</v>
      </c>
    </row>
    <row r="86" spans="1:16" x14ac:dyDescent="0.25">
      <c r="A86" s="7" t="s">
        <v>16</v>
      </c>
      <c r="B86" s="8">
        <v>1377</v>
      </c>
      <c r="C86" s="8"/>
      <c r="D86" s="8"/>
      <c r="E86" s="8"/>
      <c r="O86" s="7" t="s">
        <v>130</v>
      </c>
      <c r="P86" s="8">
        <v>3411</v>
      </c>
    </row>
    <row r="87" spans="1:16" x14ac:dyDescent="0.25">
      <c r="A87" s="7" t="s">
        <v>76</v>
      </c>
      <c r="B87" s="8">
        <v>1515.24</v>
      </c>
      <c r="C87" s="8"/>
      <c r="D87" s="8"/>
      <c r="E87" s="8"/>
      <c r="O87" s="7" t="s">
        <v>128</v>
      </c>
      <c r="P87" s="8">
        <v>12886</v>
      </c>
    </row>
    <row r="88" spans="1:16" x14ac:dyDescent="0.25">
      <c r="A88" s="7" t="s">
        <v>17</v>
      </c>
      <c r="B88" s="8">
        <v>1977.72</v>
      </c>
      <c r="C88" s="8"/>
      <c r="D88" s="8"/>
      <c r="E88" s="8"/>
      <c r="O88" s="7" t="s">
        <v>148</v>
      </c>
      <c r="P88" s="8">
        <v>1167</v>
      </c>
    </row>
    <row r="89" spans="1:16" x14ac:dyDescent="0.25">
      <c r="A89" s="7" t="s">
        <v>88</v>
      </c>
      <c r="B89" s="8">
        <v>1439.83</v>
      </c>
      <c r="C89" s="8"/>
      <c r="D89" s="8"/>
      <c r="E89" s="8"/>
      <c r="O89" s="7" t="s">
        <v>124</v>
      </c>
      <c r="P89" s="8">
        <v>12448</v>
      </c>
    </row>
    <row r="90" spans="1:16" x14ac:dyDescent="0.25">
      <c r="A90" s="7" t="s">
        <v>18</v>
      </c>
      <c r="B90" s="8">
        <v>10876.97</v>
      </c>
      <c r="C90" s="8"/>
      <c r="D90" s="8"/>
      <c r="E90" s="8"/>
      <c r="O90" s="7" t="s">
        <v>146</v>
      </c>
      <c r="P90" s="8">
        <v>2274</v>
      </c>
    </row>
    <row r="91" spans="1:16" x14ac:dyDescent="0.25">
      <c r="A91" s="7" t="s">
        <v>69</v>
      </c>
      <c r="B91" s="8">
        <v>7622.0399999999991</v>
      </c>
      <c r="C91" s="8"/>
      <c r="D91" s="8"/>
      <c r="E91" s="8"/>
      <c r="O91" s="7" t="s">
        <v>147</v>
      </c>
      <c r="P91" s="8">
        <v>1323</v>
      </c>
    </row>
    <row r="92" spans="1:16" x14ac:dyDescent="0.25">
      <c r="A92" s="7" t="s">
        <v>5</v>
      </c>
      <c r="B92" s="8">
        <v>11000.32</v>
      </c>
      <c r="C92" s="8"/>
      <c r="D92" s="8"/>
      <c r="E92" s="8"/>
      <c r="O92" s="7" t="s">
        <v>141</v>
      </c>
      <c r="P92" s="8">
        <v>4095</v>
      </c>
    </row>
    <row r="93" spans="1:16" x14ac:dyDescent="0.25">
      <c r="A93" s="7" t="s">
        <v>7</v>
      </c>
      <c r="B93" s="8">
        <v>28796.66</v>
      </c>
      <c r="C93" s="8"/>
      <c r="D93" s="8"/>
      <c r="E93" s="8"/>
      <c r="O93" s="7" t="s">
        <v>143</v>
      </c>
      <c r="P93" s="8">
        <v>409</v>
      </c>
    </row>
    <row r="94" spans="1:16" x14ac:dyDescent="0.25">
      <c r="A94" s="7" t="s">
        <v>19</v>
      </c>
      <c r="B94" s="8">
        <v>3078.99</v>
      </c>
      <c r="C94" s="8"/>
      <c r="D94" s="8"/>
      <c r="E94" s="8"/>
      <c r="O94" s="7" t="s">
        <v>176</v>
      </c>
      <c r="P94" s="8">
        <v>409</v>
      </c>
    </row>
    <row r="95" spans="1:16" x14ac:dyDescent="0.25">
      <c r="A95" s="7" t="s">
        <v>67</v>
      </c>
      <c r="B95" s="8">
        <v>0.01</v>
      </c>
      <c r="C95" s="8"/>
      <c r="D95" s="8"/>
      <c r="E95" s="8"/>
      <c r="O95" s="7" t="s">
        <v>182</v>
      </c>
      <c r="P95" s="8">
        <v>1227</v>
      </c>
    </row>
    <row r="96" spans="1:16" x14ac:dyDescent="0.25">
      <c r="A96" s="7" t="s">
        <v>87</v>
      </c>
      <c r="B96" s="8">
        <v>327.42</v>
      </c>
      <c r="C96" s="8"/>
      <c r="D96" s="8"/>
      <c r="E96" s="8"/>
      <c r="O96" s="7" t="s">
        <v>168</v>
      </c>
      <c r="P96" s="8">
        <v>1249</v>
      </c>
    </row>
    <row r="97" spans="1:16" x14ac:dyDescent="0.25">
      <c r="A97" s="7" t="s">
        <v>50</v>
      </c>
      <c r="B97" s="8">
        <v>7450.88</v>
      </c>
      <c r="C97" s="8"/>
      <c r="D97" s="8"/>
      <c r="E97" s="8"/>
      <c r="O97" s="7" t="s">
        <v>170</v>
      </c>
      <c r="P97" s="8">
        <v>1798</v>
      </c>
    </row>
    <row r="98" spans="1:16" x14ac:dyDescent="0.25">
      <c r="A98" s="7" t="s">
        <v>10</v>
      </c>
      <c r="B98" s="8">
        <v>20178.16</v>
      </c>
      <c r="C98" s="8"/>
      <c r="D98" s="8"/>
      <c r="E98" s="8"/>
      <c r="O98" s="7" t="s">
        <v>132</v>
      </c>
      <c r="P98" s="8">
        <v>1023.42</v>
      </c>
    </row>
    <row r="99" spans="1:16" x14ac:dyDescent="0.25">
      <c r="A99" s="7" t="s">
        <v>178</v>
      </c>
      <c r="B99" s="8">
        <v>2097</v>
      </c>
      <c r="C99" s="8"/>
      <c r="D99" s="8"/>
      <c r="E99" s="8"/>
      <c r="O99" s="7" t="s">
        <v>114</v>
      </c>
      <c r="P99" s="8">
        <v>25228.65</v>
      </c>
    </row>
    <row r="100" spans="1:16" x14ac:dyDescent="0.25">
      <c r="A100" s="7" t="s">
        <v>156</v>
      </c>
      <c r="B100" s="8">
        <v>1398</v>
      </c>
      <c r="C100" s="8"/>
      <c r="D100" s="8"/>
      <c r="E100" s="8"/>
      <c r="O100" s="7" t="s">
        <v>191</v>
      </c>
      <c r="P100" s="8">
        <v>198.39</v>
      </c>
    </row>
    <row r="101" spans="1:16" x14ac:dyDescent="0.25">
      <c r="A101" s="7" t="s">
        <v>189</v>
      </c>
      <c r="B101" s="8">
        <v>699</v>
      </c>
      <c r="C101" s="8"/>
      <c r="D101" s="8"/>
      <c r="E101" s="8"/>
      <c r="O101" s="7" t="s">
        <v>121</v>
      </c>
      <c r="P101" s="8">
        <v>22568.239999999998</v>
      </c>
    </row>
    <row r="102" spans="1:16" x14ac:dyDescent="0.25">
      <c r="A102" s="7" t="s">
        <v>129</v>
      </c>
      <c r="B102" s="8">
        <v>3411</v>
      </c>
      <c r="C102" s="8"/>
      <c r="D102" s="8"/>
      <c r="E102" s="8"/>
      <c r="O102" s="7" t="s">
        <v>131</v>
      </c>
      <c r="P102" s="8">
        <v>23008.84</v>
      </c>
    </row>
    <row r="103" spans="1:16" x14ac:dyDescent="0.25">
      <c r="A103" s="7" t="s">
        <v>158</v>
      </c>
      <c r="B103" s="8">
        <v>1516</v>
      </c>
      <c r="C103" s="8"/>
      <c r="D103" s="8"/>
      <c r="E103" s="8"/>
      <c r="O103" s="7" t="s">
        <v>119</v>
      </c>
      <c r="P103" s="8">
        <v>20102</v>
      </c>
    </row>
    <row r="104" spans="1:16" x14ac:dyDescent="0.25">
      <c r="A104" s="7" t="s">
        <v>127</v>
      </c>
      <c r="B104" s="8">
        <v>12886</v>
      </c>
      <c r="C104" s="8"/>
      <c r="D104" s="8"/>
      <c r="E104" s="8"/>
      <c r="O104" s="7" t="s">
        <v>183</v>
      </c>
      <c r="P104" s="8">
        <v>9124.81</v>
      </c>
    </row>
    <row r="105" spans="1:16" x14ac:dyDescent="0.25">
      <c r="A105" s="7" t="s">
        <v>20</v>
      </c>
      <c r="B105" s="8">
        <v>5536.98</v>
      </c>
      <c r="C105" s="8"/>
      <c r="D105" s="8"/>
      <c r="E105" s="8"/>
      <c r="O105" s="7" t="s">
        <v>180</v>
      </c>
      <c r="P105" s="8">
        <v>596.39</v>
      </c>
    </row>
    <row r="106" spans="1:16" x14ac:dyDescent="0.25">
      <c r="A106" s="7" t="s">
        <v>21</v>
      </c>
      <c r="B106" s="8">
        <v>2960.02</v>
      </c>
      <c r="C106" s="8"/>
      <c r="D106" s="8"/>
      <c r="E106" s="8"/>
      <c r="O106" s="7" t="s">
        <v>120</v>
      </c>
      <c r="P106" s="8">
        <v>24607.96</v>
      </c>
    </row>
    <row r="107" spans="1:16" x14ac:dyDescent="0.25">
      <c r="A107" s="7" t="s">
        <v>11</v>
      </c>
      <c r="B107" s="8">
        <v>9616.5999999999985</v>
      </c>
      <c r="C107" s="8"/>
      <c r="D107" s="8"/>
      <c r="E107" s="8"/>
      <c r="O107" s="7" t="s">
        <v>203</v>
      </c>
      <c r="P107" s="8">
        <v>5274.1800000000021</v>
      </c>
    </row>
    <row r="108" spans="1:16" x14ac:dyDescent="0.25">
      <c r="A108" s="7" t="s">
        <v>184</v>
      </c>
      <c r="B108" s="8">
        <v>3725</v>
      </c>
      <c r="C108" s="8"/>
      <c r="D108" s="8"/>
      <c r="E108" s="8"/>
      <c r="O108" s="7" t="s">
        <v>207</v>
      </c>
      <c r="P108" s="8">
        <v>3276.1400000000012</v>
      </c>
    </row>
    <row r="109" spans="1:16" x14ac:dyDescent="0.25">
      <c r="A109" s="7" t="s">
        <v>49</v>
      </c>
      <c r="B109" s="8">
        <v>1016.1</v>
      </c>
      <c r="C109" s="8"/>
      <c r="D109" s="8"/>
      <c r="E109" s="8"/>
      <c r="O109" s="7" t="s">
        <v>215</v>
      </c>
      <c r="P109" s="8">
        <v>3510.1500000000015</v>
      </c>
    </row>
    <row r="110" spans="1:16" x14ac:dyDescent="0.25">
      <c r="A110" s="7" t="s">
        <v>100</v>
      </c>
      <c r="B110" s="8">
        <v>1520.34</v>
      </c>
      <c r="C110" s="8"/>
      <c r="D110" s="8"/>
      <c r="E110" s="8"/>
      <c r="O110" s="7" t="s">
        <v>200</v>
      </c>
      <c r="P110" s="8">
        <v>3978.1700000000019</v>
      </c>
    </row>
    <row r="111" spans="1:16" x14ac:dyDescent="0.25">
      <c r="A111" s="7" t="s">
        <v>107</v>
      </c>
      <c r="B111" s="8">
        <v>422.03</v>
      </c>
      <c r="C111" s="8"/>
      <c r="D111" s="8"/>
      <c r="E111" s="8"/>
      <c r="O111" s="7" t="s">
        <v>212</v>
      </c>
      <c r="P111" s="8">
        <v>2954</v>
      </c>
    </row>
    <row r="112" spans="1:16" x14ac:dyDescent="0.25">
      <c r="A112" s="7" t="s">
        <v>3</v>
      </c>
      <c r="B112" s="8">
        <v>28714.499999999975</v>
      </c>
      <c r="C112" s="8"/>
      <c r="D112" s="8"/>
      <c r="E112" s="8"/>
      <c r="O112" s="7" t="s">
        <v>210</v>
      </c>
      <c r="P112" s="8">
        <v>3744.1600000000017</v>
      </c>
    </row>
    <row r="113" spans="1:16" x14ac:dyDescent="0.25">
      <c r="A113" s="7" t="s">
        <v>8</v>
      </c>
      <c r="B113" s="8">
        <v>26284.979999999978</v>
      </c>
      <c r="C113" s="8"/>
      <c r="D113" s="8"/>
      <c r="E113" s="8"/>
      <c r="O113" s="7" t="s">
        <v>308</v>
      </c>
      <c r="P113" s="8">
        <v>1635.5900000000001</v>
      </c>
    </row>
    <row r="114" spans="1:16" x14ac:dyDescent="0.25">
      <c r="A114" s="7" t="s">
        <v>2</v>
      </c>
      <c r="B114" s="8">
        <v>24080.169999999973</v>
      </c>
      <c r="C114" s="8"/>
      <c r="D114" s="8"/>
      <c r="E114" s="8"/>
      <c r="O114" s="7" t="s">
        <v>309</v>
      </c>
      <c r="P114" s="8">
        <v>2369.4900000000002</v>
      </c>
    </row>
    <row r="115" spans="1:16" x14ac:dyDescent="0.25">
      <c r="A115" s="7" t="s">
        <v>4</v>
      </c>
      <c r="B115" s="8">
        <v>26510.789999999972</v>
      </c>
      <c r="C115" s="8"/>
      <c r="D115" s="8"/>
      <c r="E115" s="8"/>
      <c r="O115" s="7" t="s">
        <v>118</v>
      </c>
      <c r="P115" s="8">
        <v>39344.03</v>
      </c>
    </row>
    <row r="116" spans="1:16" x14ac:dyDescent="0.25">
      <c r="A116" s="7" t="s">
        <v>0</v>
      </c>
      <c r="B116" s="8">
        <v>31526.249999999971</v>
      </c>
      <c r="C116" s="8"/>
      <c r="D116" s="8"/>
      <c r="E116" s="8"/>
      <c r="O116" s="7" t="s">
        <v>144</v>
      </c>
      <c r="P116" s="8">
        <v>56377.060000000005</v>
      </c>
    </row>
    <row r="117" spans="1:16" x14ac:dyDescent="0.25">
      <c r="A117" s="7" t="s">
        <v>35</v>
      </c>
      <c r="B117" s="8">
        <v>12078.81</v>
      </c>
      <c r="C117" s="8"/>
      <c r="D117" s="8"/>
      <c r="E117" s="8"/>
      <c r="O117" s="7" t="s">
        <v>195</v>
      </c>
      <c r="P117" s="8">
        <v>1750</v>
      </c>
    </row>
    <row r="118" spans="1:16" x14ac:dyDescent="0.25">
      <c r="A118" s="7" t="s">
        <v>92</v>
      </c>
      <c r="B118" s="8">
        <v>1845.6100000000001</v>
      </c>
      <c r="C118" s="8"/>
      <c r="D118" s="8"/>
      <c r="E118" s="8"/>
      <c r="O118" s="7" t="s">
        <v>276</v>
      </c>
      <c r="P118" s="8">
        <v>1631.3600000000001</v>
      </c>
    </row>
    <row r="119" spans="1:16" x14ac:dyDescent="0.25">
      <c r="A119" s="7" t="s">
        <v>91</v>
      </c>
      <c r="B119" s="8">
        <v>846.61</v>
      </c>
      <c r="C119" s="8"/>
      <c r="D119" s="8"/>
      <c r="E119" s="8"/>
      <c r="O119" s="7" t="s">
        <v>246</v>
      </c>
      <c r="P119" s="8">
        <v>5074.5600000000004</v>
      </c>
    </row>
    <row r="120" spans="1:16" x14ac:dyDescent="0.25">
      <c r="A120" s="7" t="s">
        <v>99</v>
      </c>
      <c r="B120" s="8">
        <v>2965.25</v>
      </c>
      <c r="C120" s="8"/>
      <c r="D120" s="8"/>
      <c r="E120" s="8"/>
      <c r="O120" s="7" t="s">
        <v>265</v>
      </c>
      <c r="P120" s="8">
        <v>400.84</v>
      </c>
    </row>
    <row r="121" spans="1:16" x14ac:dyDescent="0.25">
      <c r="A121" s="7" t="s">
        <v>75</v>
      </c>
      <c r="B121" s="8">
        <v>2031.3600000000001</v>
      </c>
      <c r="C121" s="8"/>
      <c r="D121" s="8"/>
      <c r="E121" s="8"/>
      <c r="O121" s="7" t="s">
        <v>310</v>
      </c>
      <c r="P121" s="8">
        <v>1489.84</v>
      </c>
    </row>
    <row r="122" spans="1:16" x14ac:dyDescent="0.25">
      <c r="A122" s="7" t="s">
        <v>136</v>
      </c>
      <c r="B122" s="8">
        <v>26681</v>
      </c>
      <c r="C122" s="8"/>
      <c r="D122" s="8"/>
      <c r="E122" s="8"/>
      <c r="O122" s="7" t="s">
        <v>186</v>
      </c>
      <c r="P122" s="8">
        <v>4997.8500000000004</v>
      </c>
    </row>
    <row r="123" spans="1:16" x14ac:dyDescent="0.25">
      <c r="A123" s="7" t="s">
        <v>82</v>
      </c>
      <c r="B123" s="8">
        <v>1694.07</v>
      </c>
      <c r="C123" s="8"/>
      <c r="D123" s="8"/>
      <c r="E123" s="8"/>
      <c r="O123" s="7" t="s">
        <v>253</v>
      </c>
      <c r="P123" s="8">
        <v>2020.32</v>
      </c>
    </row>
    <row r="124" spans="1:16" x14ac:dyDescent="0.25">
      <c r="A124" s="7" t="s">
        <v>101</v>
      </c>
      <c r="B124" s="8">
        <v>1694.07</v>
      </c>
      <c r="C124" s="8"/>
      <c r="D124" s="8"/>
      <c r="E124" s="8"/>
      <c r="O124" s="7" t="s">
        <v>117</v>
      </c>
      <c r="P124" s="8">
        <v>44146.5</v>
      </c>
    </row>
    <row r="125" spans="1:16" x14ac:dyDescent="0.25">
      <c r="A125" s="7" t="s">
        <v>106</v>
      </c>
      <c r="B125" s="8">
        <v>11858.48</v>
      </c>
      <c r="C125" s="8"/>
      <c r="D125" s="8"/>
      <c r="E125" s="8"/>
      <c r="O125" s="7" t="s">
        <v>311</v>
      </c>
      <c r="P125" s="8">
        <v>981.36</v>
      </c>
    </row>
    <row r="126" spans="1:16" x14ac:dyDescent="0.25">
      <c r="A126" s="7" t="s">
        <v>104</v>
      </c>
      <c r="B126" s="8">
        <v>0</v>
      </c>
      <c r="C126" s="8"/>
      <c r="D126" s="8"/>
      <c r="E126" s="8"/>
      <c r="O126" s="7" t="s">
        <v>260</v>
      </c>
      <c r="P126" s="8">
        <v>754.26</v>
      </c>
    </row>
    <row r="127" spans="1:16" x14ac:dyDescent="0.25">
      <c r="A127" s="7" t="s">
        <v>162</v>
      </c>
      <c r="B127" s="8">
        <v>9990</v>
      </c>
      <c r="C127" s="8"/>
      <c r="D127" s="8"/>
      <c r="E127" s="8"/>
      <c r="O127" s="7" t="s">
        <v>255</v>
      </c>
      <c r="P127" s="8">
        <v>1114.4000000000001</v>
      </c>
    </row>
    <row r="128" spans="1:16" x14ac:dyDescent="0.25">
      <c r="A128" s="7" t="s">
        <v>164</v>
      </c>
      <c r="B128" s="8">
        <v>7992</v>
      </c>
      <c r="C128" s="8"/>
      <c r="D128" s="8"/>
      <c r="E128" s="8"/>
      <c r="O128" s="7" t="s">
        <v>278</v>
      </c>
      <c r="P128" s="8">
        <v>2898.29</v>
      </c>
    </row>
    <row r="129" spans="1:16" x14ac:dyDescent="0.25">
      <c r="A129" s="7" t="s">
        <v>226</v>
      </c>
      <c r="B129" s="8">
        <v>1782543.1600000001</v>
      </c>
      <c r="C129" s="8"/>
      <c r="D129" s="8"/>
      <c r="E129" s="8"/>
      <c r="O129" s="7" t="s">
        <v>312</v>
      </c>
      <c r="P129" s="8">
        <v>0</v>
      </c>
    </row>
    <row r="130" spans="1:16" x14ac:dyDescent="0.25">
      <c r="O130" s="7" t="s">
        <v>258</v>
      </c>
      <c r="P130" s="8">
        <v>1779.6599999999999</v>
      </c>
    </row>
    <row r="131" spans="1:16" x14ac:dyDescent="0.25">
      <c r="O131" s="7" t="s">
        <v>259</v>
      </c>
      <c r="P131" s="8">
        <v>299.14999999999998</v>
      </c>
    </row>
    <row r="132" spans="1:16" x14ac:dyDescent="0.25">
      <c r="O132" s="7" t="s">
        <v>256</v>
      </c>
      <c r="P132" s="8">
        <v>749.16</v>
      </c>
    </row>
    <row r="133" spans="1:16" x14ac:dyDescent="0.25">
      <c r="O133" s="7" t="s">
        <v>257</v>
      </c>
      <c r="P133" s="8">
        <v>381.36</v>
      </c>
    </row>
    <row r="134" spans="1:16" x14ac:dyDescent="0.25">
      <c r="O134" s="7" t="s">
        <v>279</v>
      </c>
      <c r="P134" s="8">
        <v>139.83000000000001</v>
      </c>
    </row>
    <row r="135" spans="1:16" x14ac:dyDescent="0.25">
      <c r="O135" s="7" t="s">
        <v>275</v>
      </c>
      <c r="P135" s="8">
        <v>2336.4499999999998</v>
      </c>
    </row>
    <row r="136" spans="1:16" x14ac:dyDescent="0.25">
      <c r="O136" s="7" t="s">
        <v>262</v>
      </c>
      <c r="P136" s="8">
        <v>1332.73</v>
      </c>
    </row>
    <row r="137" spans="1:16" x14ac:dyDescent="0.25">
      <c r="O137" s="7" t="s">
        <v>268</v>
      </c>
      <c r="P137" s="8">
        <v>0</v>
      </c>
    </row>
    <row r="138" spans="1:16" x14ac:dyDescent="0.25">
      <c r="O138" s="7" t="s">
        <v>261</v>
      </c>
      <c r="P138" s="8">
        <v>190.68</v>
      </c>
    </row>
    <row r="139" spans="1:16" x14ac:dyDescent="0.25">
      <c r="O139" s="7" t="s">
        <v>263</v>
      </c>
      <c r="P139" s="8">
        <v>1091.56</v>
      </c>
    </row>
    <row r="140" spans="1:16" x14ac:dyDescent="0.25">
      <c r="O140" s="7" t="s">
        <v>252</v>
      </c>
      <c r="P140" s="8">
        <v>1886.43</v>
      </c>
    </row>
    <row r="141" spans="1:16" x14ac:dyDescent="0.25">
      <c r="O141" s="7" t="s">
        <v>240</v>
      </c>
      <c r="P141" s="8">
        <v>6851.84</v>
      </c>
    </row>
    <row r="142" spans="1:16" x14ac:dyDescent="0.25">
      <c r="O142" s="7" t="s">
        <v>313</v>
      </c>
      <c r="P142" s="8">
        <v>495.77</v>
      </c>
    </row>
    <row r="143" spans="1:16" x14ac:dyDescent="0.25">
      <c r="O143" s="7" t="s">
        <v>314</v>
      </c>
      <c r="P143" s="8">
        <v>444.07</v>
      </c>
    </row>
    <row r="144" spans="1:16" x14ac:dyDescent="0.25">
      <c r="O144" s="7" t="s">
        <v>277</v>
      </c>
      <c r="P144" s="8">
        <v>225.42</v>
      </c>
    </row>
    <row r="145" spans="15:16" x14ac:dyDescent="0.25">
      <c r="O145" s="7" t="s">
        <v>271</v>
      </c>
      <c r="P145" s="8">
        <v>218.64</v>
      </c>
    </row>
    <row r="146" spans="15:16" x14ac:dyDescent="0.25">
      <c r="O146" s="7" t="s">
        <v>284</v>
      </c>
      <c r="P146" s="8">
        <v>67750.83</v>
      </c>
    </row>
    <row r="147" spans="15:16" x14ac:dyDescent="0.25">
      <c r="O147" s="7" t="s">
        <v>226</v>
      </c>
      <c r="P147" s="8">
        <v>1782543.1599999997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28B8-68BE-4987-A77C-E8F43E57A657}">
  <dimension ref="A1:P698"/>
  <sheetViews>
    <sheetView tabSelected="1" zoomScale="97" zoomScaleNormal="65" workbookViewId="0">
      <selection activeCell="B24" sqref="B24"/>
    </sheetView>
  </sheetViews>
  <sheetFormatPr defaultRowHeight="15" x14ac:dyDescent="0.25"/>
  <cols>
    <col min="1" max="1" width="15.42578125" style="1" customWidth="1"/>
    <col min="2" max="2" width="17" bestFit="1" customWidth="1"/>
    <col min="3" max="3" width="27.140625" bestFit="1" customWidth="1"/>
    <col min="4" max="4" width="22.28515625" bestFit="1" customWidth="1"/>
    <col min="5" max="5" width="41.28515625" bestFit="1" customWidth="1"/>
    <col min="6" max="6" width="22.28515625" customWidth="1"/>
    <col min="7" max="7" width="19.140625" bestFit="1" customWidth="1"/>
    <col min="8" max="8" width="9.140625" style="2"/>
  </cols>
  <sheetData>
    <row r="1" spans="1:8" x14ac:dyDescent="0.25">
      <c r="A1" s="1" t="s">
        <v>222</v>
      </c>
      <c r="B1" t="s">
        <v>24</v>
      </c>
      <c r="C1" t="s">
        <v>109</v>
      </c>
      <c r="D1" t="s">
        <v>25</v>
      </c>
      <c r="E1" t="s">
        <v>110</v>
      </c>
      <c r="F1" t="s">
        <v>111</v>
      </c>
      <c r="G1" t="s">
        <v>282</v>
      </c>
      <c r="H1" s="2" t="s">
        <v>112</v>
      </c>
    </row>
    <row r="2" spans="1:8" x14ac:dyDescent="0.25">
      <c r="A2" s="1">
        <v>45893</v>
      </c>
      <c r="B2" t="s">
        <v>26</v>
      </c>
      <c r="C2" t="str">
        <f>VLOOKUP(Amazon_1P__2[[#This Row],[ASIN]],[1]Table1__2!$C:$E,3,FALSE)</f>
        <v>Footwear Organizer</v>
      </c>
      <c r="D2" t="s">
        <v>27</v>
      </c>
      <c r="E2" t="str">
        <f>VLOOKUP(Amazon_1P__2[[#This Row],[ASIN]],'[1]Table1 (2)'!$A:$B,2,FALSE)</f>
        <v>BJFZ0016</v>
      </c>
      <c r="F2">
        <v>101</v>
      </c>
      <c r="G2" s="8">
        <v>141143.46</v>
      </c>
      <c r="H2" s="2" t="s">
        <v>113</v>
      </c>
    </row>
    <row r="3" spans="1:8" x14ac:dyDescent="0.25">
      <c r="A3" s="1">
        <v>45893</v>
      </c>
      <c r="B3" t="s">
        <v>28</v>
      </c>
      <c r="C3" t="str">
        <f>VLOOKUP(Amazon_1P__2[[#This Row],[ASIN]],[1]Table1__2!$C:$E,3,FALSE)</f>
        <v>Footwear Organizer</v>
      </c>
      <c r="D3" t="s">
        <v>27</v>
      </c>
      <c r="E3" t="str">
        <f>VLOOKUP(Amazon_1P__2[[#This Row],[ASIN]],'[1]Table1 (2)'!$A:$B,2,FALSE)</f>
        <v>BJFZ0013</v>
      </c>
      <c r="F3">
        <v>14</v>
      </c>
      <c r="G3" s="8">
        <v>22245.72</v>
      </c>
      <c r="H3" s="2" t="s">
        <v>113</v>
      </c>
    </row>
    <row r="4" spans="1:8" x14ac:dyDescent="0.25">
      <c r="A4" s="1">
        <v>45893</v>
      </c>
      <c r="B4" t="s">
        <v>29</v>
      </c>
      <c r="C4" t="str">
        <f>VLOOKUP(Amazon_1P__2[[#This Row],[ASIN]],[1]Table1__2!$C:$E,3,FALSE)</f>
        <v>Footwear Organizer</v>
      </c>
      <c r="D4" t="s">
        <v>27</v>
      </c>
      <c r="E4" t="str">
        <f>VLOOKUP(Amazon_1P__2[[#This Row],[ASIN]],'[1]Table1 (2)'!$A:$B,2,FALSE)</f>
        <v>BJFZ0015</v>
      </c>
      <c r="F4">
        <v>15</v>
      </c>
      <c r="G4" s="8">
        <v>20949.16</v>
      </c>
      <c r="H4" s="2" t="s">
        <v>113</v>
      </c>
    </row>
    <row r="5" spans="1:8" x14ac:dyDescent="0.25">
      <c r="A5" s="1">
        <v>45893</v>
      </c>
      <c r="B5" t="s">
        <v>30</v>
      </c>
      <c r="C5" t="e">
        <f>VLOOKUP(Amazon_1P__2[[#This Row],[ASIN]],[1]Table1__2!$C:$E,3,FALSE)</f>
        <v>#N/A</v>
      </c>
      <c r="D5" t="s">
        <v>31</v>
      </c>
      <c r="E5" t="e">
        <f>VLOOKUP(Amazon_1P__2[[#This Row],[ASIN]],'[1]Table1 (2)'!$A:$B,2,FALSE)</f>
        <v>#N/A</v>
      </c>
      <c r="F5">
        <v>4</v>
      </c>
      <c r="G5" s="8">
        <v>19979.66</v>
      </c>
      <c r="H5" s="2" t="s">
        <v>113</v>
      </c>
    </row>
    <row r="6" spans="1:8" x14ac:dyDescent="0.25">
      <c r="A6" s="1">
        <v>45893</v>
      </c>
      <c r="B6" t="s">
        <v>12</v>
      </c>
      <c r="C6" t="str">
        <f>VLOOKUP(Amazon_1P__2[[#This Row],[ASIN]],[1]Table1__2!$C:$E,3,FALSE)</f>
        <v>Resin</v>
      </c>
      <c r="D6" t="s">
        <v>32</v>
      </c>
      <c r="E6" t="str">
        <f>VLOOKUP(Amazon_1P__2[[#This Row],[ASIN]],[2]Sheet1!$B:$E,4,FALSE)</f>
        <v>TK-RESIN-21-150-ULTIMATE</v>
      </c>
      <c r="F6">
        <v>22</v>
      </c>
      <c r="G6" s="8">
        <v>16537.27</v>
      </c>
      <c r="H6" s="2" t="s">
        <v>113</v>
      </c>
    </row>
    <row r="7" spans="1:8" x14ac:dyDescent="0.25">
      <c r="A7" s="1">
        <v>45893</v>
      </c>
      <c r="B7" t="s">
        <v>33</v>
      </c>
      <c r="C7" t="str">
        <f>VLOOKUP(Amazon_1P__2[[#This Row],[ASIN]],[1]Table1__2!$C:$E,3,FALSE)</f>
        <v>Footwear Organizer</v>
      </c>
      <c r="D7" t="s">
        <v>27</v>
      </c>
      <c r="E7" t="str">
        <f>VLOOKUP(Amazon_1P__2[[#This Row],[ASIN]],'[1]Table1 (2)'!$A:$B,2,FALSE)</f>
        <v>BJFZ0010</v>
      </c>
      <c r="F7">
        <v>6</v>
      </c>
      <c r="G7" s="8">
        <v>12579.71</v>
      </c>
      <c r="H7" s="2" t="s">
        <v>113</v>
      </c>
    </row>
    <row r="8" spans="1:8" x14ac:dyDescent="0.25">
      <c r="A8" s="1">
        <v>45893</v>
      </c>
      <c r="B8" t="s">
        <v>7</v>
      </c>
      <c r="C8" t="str">
        <f>VLOOKUP(Amazon_1P__2[[#This Row],[ASIN]],[1]Table1__2!$C:$E,3,FALSE)</f>
        <v>Wardrobe Organizer</v>
      </c>
      <c r="D8" t="s">
        <v>27</v>
      </c>
      <c r="E8" t="str">
        <f>VLOOKUP(Amazon_1P__2[[#This Row],[ASIN]],[2]Sheet1!$B:$E,4,FALSE)</f>
        <v>BJWZ0029-VBTRJP3-FBA</v>
      </c>
      <c r="F8">
        <v>23</v>
      </c>
      <c r="G8" s="8">
        <v>10681.36</v>
      </c>
      <c r="H8" s="2" t="s">
        <v>113</v>
      </c>
    </row>
    <row r="9" spans="1:8" x14ac:dyDescent="0.25">
      <c r="A9" s="1">
        <v>45893</v>
      </c>
      <c r="B9" t="s">
        <v>8</v>
      </c>
      <c r="C9" t="str">
        <f>VLOOKUP(Amazon_1P__2[[#This Row],[ASIN]],[1]Table1__2!$C:$E,3,FALSE)</f>
        <v>Face Care</v>
      </c>
      <c r="D9" t="s">
        <v>34</v>
      </c>
      <c r="E9" t="str">
        <f>VLOOKUP(Amazon_1P__2[[#This Row],[ASIN]],[2]Sheet1!$B:$E,4,FALSE)</f>
        <v>PRFCFC001-50-P1-FBA</v>
      </c>
      <c r="F9">
        <v>47</v>
      </c>
      <c r="G9" s="8">
        <v>7926.08</v>
      </c>
      <c r="H9" s="2" t="s">
        <v>113</v>
      </c>
    </row>
    <row r="10" spans="1:8" x14ac:dyDescent="0.25">
      <c r="A10" s="1">
        <v>45893</v>
      </c>
      <c r="B10" t="s">
        <v>4</v>
      </c>
      <c r="C10" t="str">
        <f>VLOOKUP(Amazon_1P__2[[#This Row],[ASIN]],[1]Table1__2!$C:$E,3,FALSE)</f>
        <v>Body Care</v>
      </c>
      <c r="D10" t="s">
        <v>34</v>
      </c>
      <c r="E10" t="str">
        <f>VLOOKUP(Amazon_1P__2[[#This Row],[ASIN]],[2]Sheet1!$B:$E,4,FALSE)</f>
        <v>PRBCUR001-40-P1-FBA</v>
      </c>
      <c r="F10">
        <v>34</v>
      </c>
      <c r="G10" s="8">
        <v>5733.76</v>
      </c>
      <c r="H10" s="2" t="s">
        <v>113</v>
      </c>
    </row>
    <row r="11" spans="1:8" x14ac:dyDescent="0.25">
      <c r="A11" s="1">
        <v>45893</v>
      </c>
      <c r="B11" t="s">
        <v>3</v>
      </c>
      <c r="C11" t="str">
        <f>VLOOKUP(Amazon_1P__2[[#This Row],[ASIN]],[1]Table1__2!$C:$E,3,FALSE)</f>
        <v>Face Care</v>
      </c>
      <c r="D11" t="s">
        <v>34</v>
      </c>
      <c r="E11" t="str">
        <f>VLOOKUP(Amazon_1P__2[[#This Row],[ASIN]],[2]Sheet1!$B:$E,4,FALSE)</f>
        <v>PRFCSS001-50-P1-FBA</v>
      </c>
      <c r="F11">
        <v>28</v>
      </c>
      <c r="G11" s="8">
        <v>4721.92</v>
      </c>
      <c r="H11" s="2" t="s">
        <v>113</v>
      </c>
    </row>
    <row r="12" spans="1:8" x14ac:dyDescent="0.25">
      <c r="A12" s="1">
        <v>45893</v>
      </c>
      <c r="B12" t="s">
        <v>6</v>
      </c>
      <c r="C12" t="str">
        <f>VLOOKUP(Amazon_1P__2[[#This Row],[ASIN]],[1]Table1__2!$C:$E,3,FALSE)</f>
        <v>Wardrobe Organizer</v>
      </c>
      <c r="D12" t="s">
        <v>27</v>
      </c>
      <c r="E12" t="str">
        <f>VLOOKUP(Amazon_1P__2[[#This Row],[ASIN]],[2]Sheet1!$B:$E,4,FALSE)</f>
        <v>BJWZ0010-OXGYSTL-P4-FBA</v>
      </c>
      <c r="F12">
        <v>6</v>
      </c>
      <c r="G12" s="8">
        <v>4611.84</v>
      </c>
      <c r="H12" s="2" t="s">
        <v>113</v>
      </c>
    </row>
    <row r="13" spans="1:8" x14ac:dyDescent="0.25">
      <c r="A13" s="1">
        <v>45893</v>
      </c>
      <c r="B13" t="s">
        <v>35</v>
      </c>
      <c r="C13" t="str">
        <f>VLOOKUP(Amazon_1P__2[[#This Row],[ASIN]],[1]Table1__2!$C:$E,3,FALSE)</f>
        <v>Face Care</v>
      </c>
      <c r="D13" t="s">
        <v>34</v>
      </c>
      <c r="E13" t="str">
        <f>VLOOKUP(Amazon_1P__2[[#This Row],[ASIN]],[2]Sheet1!$B:$E,4,FALSE)</f>
        <v>PRFCLB001-04-P1</v>
      </c>
      <c r="F13">
        <v>26</v>
      </c>
      <c r="G13" s="8">
        <v>3943.99</v>
      </c>
      <c r="H13" s="2" t="s">
        <v>113</v>
      </c>
    </row>
    <row r="14" spans="1:8" x14ac:dyDescent="0.25">
      <c r="A14" s="1">
        <v>45893</v>
      </c>
      <c r="B14" t="s">
        <v>2</v>
      </c>
      <c r="C14" t="str">
        <f>VLOOKUP(Amazon_1P__2[[#This Row],[ASIN]],[1]Table1__2!$C:$E,3,FALSE)</f>
        <v>Face Care</v>
      </c>
      <c r="D14" t="s">
        <v>34</v>
      </c>
      <c r="E14" t="str">
        <f>VLOOKUP(Amazon_1P__2[[#This Row],[ASIN]],[2]Sheet1!$B:$E,4,FALSE)</f>
        <v>PRFCFW001-100-P1-FBA</v>
      </c>
      <c r="F14">
        <v>23</v>
      </c>
      <c r="G14" s="8">
        <v>3878.72</v>
      </c>
      <c r="H14" s="2" t="s">
        <v>113</v>
      </c>
    </row>
    <row r="15" spans="1:8" x14ac:dyDescent="0.25">
      <c r="A15" s="1">
        <v>45893</v>
      </c>
      <c r="B15" t="s">
        <v>18</v>
      </c>
      <c r="C15" t="str">
        <f>VLOOKUP(Amazon_1P__2[[#This Row],[ASIN]],[1]Table1__2!$C:$E,3,FALSE)</f>
        <v>Wardrobe Organizer</v>
      </c>
      <c r="D15" t="s">
        <v>27</v>
      </c>
      <c r="E15" t="str">
        <f>VLOOKUP(Amazon_1P__2[[#This Row],[ASIN]],[2]Sheet1!$B:$E,4,FALSE)</f>
        <v>BJWZ0010-OXGYSTL-P6-FBA</v>
      </c>
      <c r="F15">
        <v>3</v>
      </c>
      <c r="G15" s="8">
        <v>3554.24</v>
      </c>
      <c r="H15" s="2" t="s">
        <v>113</v>
      </c>
    </row>
    <row r="16" spans="1:8" x14ac:dyDescent="0.25">
      <c r="A16" s="1">
        <v>45893</v>
      </c>
      <c r="B16" t="s">
        <v>36</v>
      </c>
      <c r="C16" t="str">
        <f>VLOOKUP(Amazon_1P__2[[#This Row],[ASIN]],[1]Table1__2!$C:$E,3,FALSE)</f>
        <v>Wardrobe Organizer</v>
      </c>
      <c r="D16" t="s">
        <v>27</v>
      </c>
      <c r="E16" t="str">
        <f>VLOOKUP(Amazon_1P__2[[#This Row],[ASIN]],'[1]Table1 (2)'!$A:$B,2,FALSE)</f>
        <v>BJWZ0015-PVTR66L</v>
      </c>
      <c r="F16">
        <v>4</v>
      </c>
      <c r="G16" s="8">
        <v>3386.44</v>
      </c>
      <c r="H16" s="2" t="s">
        <v>113</v>
      </c>
    </row>
    <row r="17" spans="1:8" x14ac:dyDescent="0.25">
      <c r="A17" s="1">
        <v>45893</v>
      </c>
      <c r="B17" t="s">
        <v>37</v>
      </c>
      <c r="C17" t="str">
        <f>VLOOKUP(Amazon_1P__2[[#This Row],[ASIN]],[1]Table1__2!$C:$E,3,FALSE)</f>
        <v>Footwear Organizer</v>
      </c>
      <c r="D17" t="s">
        <v>27</v>
      </c>
      <c r="E17" t="str">
        <f>VLOOKUP(Amazon_1P__2[[#This Row],[ASIN]],'[1]Table1 (2)'!$A:$B,2,FALSE)</f>
        <v>BJFZ0011</v>
      </c>
      <c r="F17">
        <v>2</v>
      </c>
      <c r="G17" s="8">
        <v>3177.96</v>
      </c>
      <c r="H17" s="2" t="s">
        <v>113</v>
      </c>
    </row>
    <row r="18" spans="1:8" x14ac:dyDescent="0.25">
      <c r="A18" s="1">
        <v>45893</v>
      </c>
      <c r="B18" t="s">
        <v>10</v>
      </c>
      <c r="C18" t="str">
        <f>VLOOKUP(Amazon_1P__2[[#This Row],[ASIN]],[1]Table1__2!$C:$E,3,FALSE)</f>
        <v>Drawer Organizer</v>
      </c>
      <c r="D18" t="s">
        <v>27</v>
      </c>
      <c r="E18" t="str">
        <f>VLOOKUP(Amazon_1P__2[[#This Row],[ASIN]],[2]Sheet1!$B:$E,4,FALSE)</f>
        <v>BJDZ0002-PETR016-FBA</v>
      </c>
      <c r="F18">
        <v>4</v>
      </c>
      <c r="G18" s="8">
        <v>2708.48</v>
      </c>
      <c r="H18" s="2" t="s">
        <v>113</v>
      </c>
    </row>
    <row r="19" spans="1:8" x14ac:dyDescent="0.25">
      <c r="A19" s="1">
        <v>45893</v>
      </c>
      <c r="B19" t="s">
        <v>38</v>
      </c>
      <c r="C19" t="str">
        <f>VLOOKUP(Amazon_1P__2[[#This Row],[ASIN]],[1]Table1__2!$C:$E,3,FALSE)</f>
        <v>Tape</v>
      </c>
      <c r="D19" t="s">
        <v>32</v>
      </c>
      <c r="E19" t="str">
        <f>VLOOKUP(Amazon_1P__2[[#This Row],[ASIN]],'[1]Table1 (2)'!$A:$B,2,FALSE)</f>
        <v>TK-TAPE-TISSUE-50M-1INCH</v>
      </c>
      <c r="F19">
        <v>17</v>
      </c>
      <c r="G19" s="8">
        <v>2377.17</v>
      </c>
      <c r="H19" s="2" t="s">
        <v>113</v>
      </c>
    </row>
    <row r="20" spans="1:8" x14ac:dyDescent="0.25">
      <c r="A20" s="1">
        <v>45893</v>
      </c>
      <c r="B20" t="s">
        <v>39</v>
      </c>
      <c r="C20" t="str">
        <f>VLOOKUP(Amazon_1P__2[[#This Row],[ASIN]],[1]Table1__2!$C:$E,3,FALSE)</f>
        <v>Wardrobe Organizer</v>
      </c>
      <c r="D20" t="s">
        <v>27</v>
      </c>
      <c r="E20" t="str">
        <f>VLOOKUP(Amazon_1P__2[[#This Row],[ASIN]],[2]Sheet1!$B:$E,4,FALSE)</f>
        <v>BJWZ0003-POLG17G-FBA</v>
      </c>
      <c r="F20">
        <v>7</v>
      </c>
      <c r="G20" s="8">
        <v>2349.16</v>
      </c>
      <c r="H20" s="2" t="s">
        <v>113</v>
      </c>
    </row>
    <row r="21" spans="1:8" x14ac:dyDescent="0.25">
      <c r="A21" s="1">
        <v>45893</v>
      </c>
      <c r="B21" t="s">
        <v>40</v>
      </c>
      <c r="C21" t="str">
        <f>VLOOKUP(Amazon_1P__2[[#This Row],[ASIN]],[1]Table1__2!$C:$E,3,FALSE)</f>
        <v>Footwear Organizer</v>
      </c>
      <c r="D21" t="s">
        <v>27</v>
      </c>
      <c r="E21" t="str">
        <f>VLOOKUP(Amazon_1P__2[[#This Row],[ASIN]],'[1]Table1 (2)'!$A:$B,2,FALSE)</f>
        <v>BJFZ0008</v>
      </c>
      <c r="F21">
        <v>1</v>
      </c>
      <c r="G21" s="8">
        <v>2095.7600000000002</v>
      </c>
      <c r="H21" s="2" t="s">
        <v>113</v>
      </c>
    </row>
    <row r="22" spans="1:8" x14ac:dyDescent="0.25">
      <c r="A22" s="1">
        <v>45893</v>
      </c>
      <c r="B22" t="s">
        <v>14</v>
      </c>
      <c r="C22" t="str">
        <f>VLOOKUP(Amazon_1P__2[[#This Row],[ASIN]],[1]Table1__2!$C:$E,3,FALSE)</f>
        <v>Wardrobe Organizer</v>
      </c>
      <c r="D22" t="s">
        <v>27</v>
      </c>
      <c r="E22" t="str">
        <f>VLOOKUP(Amazon_1P__2[[#This Row],[ASIN]],[2]Sheet1!$B:$E,4,FALSE)</f>
        <v>BJWZ0017-POLG24L-FBA</v>
      </c>
      <c r="F22">
        <v>3</v>
      </c>
      <c r="G22" s="8">
        <v>1922.04</v>
      </c>
      <c r="H22" s="2" t="s">
        <v>113</v>
      </c>
    </row>
    <row r="23" spans="1:8" x14ac:dyDescent="0.25">
      <c r="A23" s="1">
        <v>45893</v>
      </c>
      <c r="B23" t="s">
        <v>22</v>
      </c>
      <c r="C23" t="str">
        <f>VLOOKUP(Amazon_1P__2[[#This Row],[ASIN]],[1]Table1__2!$C:$E,3,FALSE)</f>
        <v>Wardrobe Organizer</v>
      </c>
      <c r="D23" t="s">
        <v>27</v>
      </c>
      <c r="E23" t="str">
        <f>VLOOKUP(Amazon_1P__2[[#This Row],[ASIN]],[2]Sheet1!$B:$E,4,FALSE)</f>
        <v>BJWZ0014-PVTR24L-FBA</v>
      </c>
      <c r="F23">
        <v>3</v>
      </c>
      <c r="G23" s="8">
        <v>1904.25</v>
      </c>
      <c r="H23" s="2" t="s">
        <v>113</v>
      </c>
    </row>
    <row r="24" spans="1:8" x14ac:dyDescent="0.25">
      <c r="A24" s="1">
        <v>45893</v>
      </c>
      <c r="B24" t="s">
        <v>41</v>
      </c>
      <c r="C24" t="str">
        <f>VLOOKUP(Amazon_1P__2[[#This Row],[ASIN]],[1]Table1__2!$C:$E,3,FALSE)</f>
        <v>Wardrobe Organizer</v>
      </c>
      <c r="D24" t="s">
        <v>27</v>
      </c>
      <c r="E24" t="str">
        <f>VLOOKUP(Amazon_1P__2[[#This Row],[ASIN]],'[1]Table1 (2)'!$A:$B,2,FALSE)</f>
        <v>BJWZ0018-POLG66L</v>
      </c>
      <c r="F24">
        <v>2</v>
      </c>
      <c r="G24" s="8">
        <v>1862.72</v>
      </c>
      <c r="H24" s="2" t="s">
        <v>113</v>
      </c>
    </row>
    <row r="25" spans="1:8" x14ac:dyDescent="0.25">
      <c r="A25" s="1">
        <v>45893</v>
      </c>
      <c r="B25" t="s">
        <v>42</v>
      </c>
      <c r="C25" t="str">
        <f>VLOOKUP(Amazon_1P__2[[#This Row],[ASIN]],[1]Table1__2!$C:$E,3,FALSE)</f>
        <v>Wardrobe Organizer</v>
      </c>
      <c r="D25" t="s">
        <v>27</v>
      </c>
      <c r="E25" t="str">
        <f>VLOOKUP(Amazon_1P__2[[#This Row],[ASIN]],[2]Sheet1!$B:$E,4,FALSE)</f>
        <v>BJWZ0026-VBTRMLJ-FBA</v>
      </c>
      <c r="F25">
        <v>4</v>
      </c>
      <c r="G25" s="8">
        <v>1844.08</v>
      </c>
      <c r="H25" s="2" t="s">
        <v>113</v>
      </c>
    </row>
    <row r="26" spans="1:8" x14ac:dyDescent="0.25">
      <c r="A26" s="1">
        <v>45893</v>
      </c>
      <c r="B26" t="s">
        <v>23</v>
      </c>
      <c r="C26" t="str">
        <f>VLOOKUP(Amazon_1P__2[[#This Row],[ASIN]],[1]Table1__2!$C:$E,3,FALSE)</f>
        <v>Wardrobe Organizer</v>
      </c>
      <c r="D26" t="s">
        <v>27</v>
      </c>
      <c r="E26" t="str">
        <f>VLOOKUP(Amazon_1P__2[[#This Row],[ASIN]],[2]Sheet1!$B:$E,4,FALSE)</f>
        <v>BJWZ0008-PVTRSTL-P4</v>
      </c>
      <c r="F26">
        <v>2</v>
      </c>
      <c r="G26" s="8">
        <v>1693.22</v>
      </c>
      <c r="H26" s="2" t="s">
        <v>113</v>
      </c>
    </row>
    <row r="27" spans="1:8" x14ac:dyDescent="0.25">
      <c r="A27" s="1">
        <v>45893</v>
      </c>
      <c r="B27" t="s">
        <v>43</v>
      </c>
      <c r="C27" t="str">
        <f>VLOOKUP(Amazon_1P__2[[#This Row],[ASIN]],[1]Table1__2!$C:$E,3,FALSE)</f>
        <v>Footwear Organizer</v>
      </c>
      <c r="D27" t="s">
        <v>27</v>
      </c>
      <c r="E27" t="str">
        <f>VLOOKUP(Amazon_1P__2[[#This Row],[ASIN]],'[1]Table1 (2)'!$A:$B,2,FALSE)</f>
        <v>BJFZ0012</v>
      </c>
      <c r="F27">
        <v>1</v>
      </c>
      <c r="G27" s="8">
        <v>1588.98</v>
      </c>
      <c r="H27" s="2" t="s">
        <v>113</v>
      </c>
    </row>
    <row r="28" spans="1:8" x14ac:dyDescent="0.25">
      <c r="A28" s="1">
        <v>45893</v>
      </c>
      <c r="B28" t="s">
        <v>44</v>
      </c>
      <c r="C28" t="str">
        <f>VLOOKUP(Amazon_1P__2[[#This Row],[ASIN]],[1]Table1__2!$C:$E,3,FALSE)</f>
        <v>Footwear Organizer</v>
      </c>
      <c r="D28" t="s">
        <v>27</v>
      </c>
      <c r="E28" t="str">
        <f>VLOOKUP(Amazon_1P__2[[#This Row],[ASIN]],'[1]Table1 (2)'!$A:$B,2,FALSE)</f>
        <v>BJFZ0013-PPBT8S-CLOTHRACK</v>
      </c>
      <c r="F28">
        <v>1</v>
      </c>
      <c r="G28" s="8">
        <v>1588.14</v>
      </c>
      <c r="H28" s="2" t="s">
        <v>113</v>
      </c>
    </row>
    <row r="29" spans="1:8" x14ac:dyDescent="0.25">
      <c r="A29" s="1">
        <v>45893</v>
      </c>
      <c r="B29" t="s">
        <v>45</v>
      </c>
      <c r="C29" t="str">
        <f>VLOOKUP(Amazon_1P__2[[#This Row],[ASIN]],[1]Table1__2!$C:$E,3,FALSE)</f>
        <v>Footwear Organizer</v>
      </c>
      <c r="D29" t="s">
        <v>27</v>
      </c>
      <c r="E29" t="str">
        <f>VLOOKUP(Amazon_1P__2[[#This Row],[ASIN]],'[1]Table1 (2)'!$A:$B,2,FALSE)</f>
        <v>BJFZ0016-PPBT5S-CLOTHRACK</v>
      </c>
      <c r="F29">
        <v>1</v>
      </c>
      <c r="G29" s="8">
        <v>1397.46</v>
      </c>
      <c r="H29" s="2" t="s">
        <v>113</v>
      </c>
    </row>
    <row r="30" spans="1:8" x14ac:dyDescent="0.25">
      <c r="A30" s="1">
        <v>45893</v>
      </c>
      <c r="B30" t="s">
        <v>46</v>
      </c>
      <c r="C30" t="str">
        <f>VLOOKUP(Amazon_1P__2[[#This Row],[ASIN]],[1]Table1__2!$C:$E,3,FALSE)</f>
        <v>Resin</v>
      </c>
      <c r="D30" t="s">
        <v>32</v>
      </c>
      <c r="E30" t="str">
        <f>VLOOKUP(Amazon_1P__2[[#This Row],[ASIN]],'[1]Table1 (2)'!$A:$B,2,FALSE)</f>
        <v>TK-RESINKIT-21-1500</v>
      </c>
      <c r="F30">
        <v>1</v>
      </c>
      <c r="G30" s="8">
        <v>1268.6400000000001</v>
      </c>
      <c r="H30" s="2" t="s">
        <v>113</v>
      </c>
    </row>
    <row r="31" spans="1:8" x14ac:dyDescent="0.25">
      <c r="A31" s="1">
        <v>45893</v>
      </c>
      <c r="B31" t="s">
        <v>19</v>
      </c>
      <c r="C31" t="str">
        <f>VLOOKUP(Amazon_1P__2[[#This Row],[ASIN]],[1]Table1__2!$C:$E,3,FALSE)</f>
        <v>Wardrobe Organizer</v>
      </c>
      <c r="D31" t="s">
        <v>27</v>
      </c>
      <c r="E31" t="str">
        <f>VLOOKUP(Amazon_1P__2[[#This Row],[ASIN]],[2]Sheet1!$B:$E,4,FALSE)</f>
        <v>BJWZ0027-VBTRMP3-FBA</v>
      </c>
      <c r="F31">
        <v>4</v>
      </c>
      <c r="G31" s="8">
        <v>1169.48</v>
      </c>
      <c r="H31" s="2" t="s">
        <v>113</v>
      </c>
    </row>
    <row r="32" spans="1:8" x14ac:dyDescent="0.25">
      <c r="A32" s="1">
        <v>45893</v>
      </c>
      <c r="B32" t="s">
        <v>47</v>
      </c>
      <c r="C32" t="str">
        <f>VLOOKUP(Amazon_1P__2[[#This Row],[ASIN]],[1]Table1__2!$C:$E,3,FALSE)</f>
        <v>Wardrobe Organizer</v>
      </c>
      <c r="D32" t="s">
        <v>27</v>
      </c>
      <c r="E32" t="str">
        <f>VLOOKUP(Amazon_1P__2[[#This Row],[ASIN]],'[1]Table1 (2)'!$A:$B,2,FALSE)</f>
        <v>BJWZ0012-PCLGSTL-P4</v>
      </c>
      <c r="F32">
        <v>1</v>
      </c>
      <c r="G32" s="8">
        <v>1134.75</v>
      </c>
      <c r="H32" s="2" t="s">
        <v>113</v>
      </c>
    </row>
    <row r="33" spans="1:8" x14ac:dyDescent="0.25">
      <c r="A33" s="1">
        <v>45893</v>
      </c>
      <c r="B33" t="s">
        <v>48</v>
      </c>
      <c r="C33" t="str">
        <f>VLOOKUP(Amazon_1P__2[[#This Row],[ASIN]],[1]Table1__2!$C:$E,3,FALSE)</f>
        <v>Wardrobe Organizer</v>
      </c>
      <c r="D33" t="s">
        <v>27</v>
      </c>
      <c r="E33" t="str">
        <f>VLOOKUP(Amazon_1P__2[[#This Row],[ASIN]],'[1]Table1 (2)'!$A:$B,2,FALSE)</f>
        <v>BJWZ0016-PVTR110</v>
      </c>
      <c r="F33">
        <v>1</v>
      </c>
      <c r="G33" s="8">
        <v>1100.8399999999999</v>
      </c>
      <c r="H33" s="2" t="s">
        <v>113</v>
      </c>
    </row>
    <row r="34" spans="1:8" x14ac:dyDescent="0.25">
      <c r="A34" s="1">
        <v>45893</v>
      </c>
      <c r="B34" t="s">
        <v>49</v>
      </c>
      <c r="C34" t="str">
        <f>VLOOKUP(Amazon_1P__2[[#This Row],[ASIN]],[1]Table1__2!$C:$E,3,FALSE)</f>
        <v>Travel Organizer</v>
      </c>
      <c r="D34" t="s">
        <v>27</v>
      </c>
      <c r="E34" t="str">
        <f>VLOOKUP(Amazon_1P__2[[#This Row],[ASIN]],'[1]Table1 (2)'!$A:$B,2,FALSE)</f>
        <v>BJTZ0001-POWH07P</v>
      </c>
      <c r="F34">
        <v>1</v>
      </c>
      <c r="G34" s="8">
        <v>1016.1</v>
      </c>
      <c r="H34" s="2" t="s">
        <v>113</v>
      </c>
    </row>
    <row r="35" spans="1:8" x14ac:dyDescent="0.25">
      <c r="A35" s="1">
        <v>45893</v>
      </c>
      <c r="B35" t="s">
        <v>5</v>
      </c>
      <c r="C35" t="str">
        <f>VLOOKUP(Amazon_1P__2[[#This Row],[ASIN]],[1]Table1__2!$C:$E,3,FALSE)</f>
        <v>Wardrobe Organizer</v>
      </c>
      <c r="D35" t="s">
        <v>27</v>
      </c>
      <c r="E35" t="str">
        <f>VLOOKUP(Amazon_1P__2[[#This Row],[ASIN]],[2]Sheet1!$B:$E,4,FALSE)</f>
        <v>BJWZ0028-VBTRLP3-FBA</v>
      </c>
      <c r="F35">
        <v>3</v>
      </c>
      <c r="G35" s="8">
        <v>1006.77</v>
      </c>
      <c r="H35" s="2" t="s">
        <v>113</v>
      </c>
    </row>
    <row r="36" spans="1:8" x14ac:dyDescent="0.25">
      <c r="A36" s="1">
        <v>45893</v>
      </c>
      <c r="B36" t="s">
        <v>50</v>
      </c>
      <c r="C36" t="str">
        <f>VLOOKUP(Amazon_1P__2[[#This Row],[ASIN]],[1]Table1__2!$C:$E,3,FALSE)</f>
        <v>Drawer Organizer</v>
      </c>
      <c r="D36" t="s">
        <v>27</v>
      </c>
      <c r="E36" t="str">
        <f>VLOOKUP(Amazon_1P__2[[#This Row],[ASIN]],'[1]Table1 (2)'!$A:$B,2,FALSE)</f>
        <v>BJDZ0003-PETR025</v>
      </c>
      <c r="F36">
        <v>1</v>
      </c>
      <c r="G36" s="8">
        <v>931.36</v>
      </c>
      <c r="H36" s="2" t="s">
        <v>113</v>
      </c>
    </row>
    <row r="37" spans="1:8" x14ac:dyDescent="0.25">
      <c r="A37" s="1">
        <v>45893</v>
      </c>
      <c r="B37" t="s">
        <v>11</v>
      </c>
      <c r="C37" t="str">
        <f>VLOOKUP(Amazon_1P__2[[#This Row],[ASIN]],[1]Table1__2!$C:$E,3,FALSE)</f>
        <v>Wardrobe Organizer</v>
      </c>
      <c r="D37" t="s">
        <v>27</v>
      </c>
      <c r="E37" t="str">
        <f>VLOOKUP(Amazon_1P__2[[#This Row],[ASIN]],[2]Sheet1!$B:$E,4,FALSE)</f>
        <v>BJWZ0033-VBTRJP6-FBA</v>
      </c>
      <c r="F37">
        <v>1</v>
      </c>
      <c r="G37" s="8">
        <v>761.86</v>
      </c>
      <c r="H37" s="2" t="s">
        <v>113</v>
      </c>
    </row>
    <row r="38" spans="1:8" x14ac:dyDescent="0.25">
      <c r="A38" s="1">
        <v>45893</v>
      </c>
      <c r="B38" t="s">
        <v>51</v>
      </c>
      <c r="C38" t="str">
        <f>VLOOKUP(Amazon_1P__2[[#This Row],[ASIN]],[1]Table1__2!$C:$E,3,FALSE)</f>
        <v>Wardrobe Organizer</v>
      </c>
      <c r="D38" t="s">
        <v>27</v>
      </c>
      <c r="E38" t="str">
        <f>VLOOKUP(Amazon_1P__2[[#This Row],[ASIN]],[2]Sheet1!$B:$E,4,FALSE)</f>
        <v>BJWZ0004-POLG13G-FBA</v>
      </c>
      <c r="F38">
        <v>3</v>
      </c>
      <c r="G38" s="8">
        <v>752.54</v>
      </c>
      <c r="H38" s="2" t="s">
        <v>113</v>
      </c>
    </row>
    <row r="39" spans="1:8" x14ac:dyDescent="0.25">
      <c r="A39" s="1">
        <v>45893</v>
      </c>
      <c r="B39" t="s">
        <v>52</v>
      </c>
      <c r="C39" t="str">
        <f>VLOOKUP(Amazon_1P__2[[#This Row],[ASIN]],[1]Table1__2!$C:$E,3,FALSE)</f>
        <v>Tape</v>
      </c>
      <c r="D39" t="s">
        <v>32</v>
      </c>
      <c r="E39" t="str">
        <f>VLOOKUP(Amazon_1P__2[[#This Row],[ASIN]],'[1]Table1 (2)'!$A:$B,2,FALSE)</f>
        <v>TK-TAPE-MASKING-20M-24MM-PACK1</v>
      </c>
      <c r="F39">
        <v>6</v>
      </c>
      <c r="G39" s="8">
        <v>699.13</v>
      </c>
      <c r="H39" s="2" t="s">
        <v>113</v>
      </c>
    </row>
    <row r="40" spans="1:8" x14ac:dyDescent="0.25">
      <c r="A40" s="1">
        <v>45893</v>
      </c>
      <c r="B40" t="s">
        <v>17</v>
      </c>
      <c r="C40" t="str">
        <f>VLOOKUP(Amazon_1P__2[[#This Row],[ASIN]],[1]Table1__2!$C:$E,3,FALSE)</f>
        <v>Wardrobe Organizer</v>
      </c>
      <c r="D40" t="s">
        <v>27</v>
      </c>
      <c r="E40" t="str">
        <f>VLOOKUP(Amazon_1P__2[[#This Row],[ASIN]],[2]Sheet1!$B:$E,4,FALSE)</f>
        <v>BJWZ0012-PCLGSTL-P2</v>
      </c>
      <c r="F40">
        <v>1</v>
      </c>
      <c r="G40" s="8">
        <v>631.36</v>
      </c>
      <c r="H40" s="2" t="s">
        <v>113</v>
      </c>
    </row>
    <row r="41" spans="1:8" x14ac:dyDescent="0.25">
      <c r="A41" s="1">
        <v>45893</v>
      </c>
      <c r="B41" t="s">
        <v>53</v>
      </c>
      <c r="C41" t="e">
        <f>VLOOKUP(Amazon_1P__2[[#This Row],[ASIN]],[1]Table1__2!$C:$E,3,FALSE)</f>
        <v>#N/A</v>
      </c>
      <c r="D41" t="s">
        <v>31</v>
      </c>
      <c r="E41" t="e">
        <f>VLOOKUP(Amazon_1P__2[[#This Row],[ASIN]],'[1]Table1 (2)'!$A:$B,2,FALSE)</f>
        <v>#N/A</v>
      </c>
      <c r="F41">
        <v>1</v>
      </c>
      <c r="G41" s="8">
        <v>629.66</v>
      </c>
      <c r="H41" s="2" t="s">
        <v>113</v>
      </c>
    </row>
    <row r="42" spans="1:8" x14ac:dyDescent="0.25">
      <c r="A42" s="1">
        <v>45893</v>
      </c>
      <c r="B42" t="s">
        <v>54</v>
      </c>
      <c r="C42" t="str">
        <f>VLOOKUP(Amazon_1P__2[[#This Row],[ASIN]],[1]Table1__2!$C:$E,3,FALSE)</f>
        <v>Resin</v>
      </c>
      <c r="D42" t="s">
        <v>32</v>
      </c>
      <c r="E42" t="str">
        <f>VLOOKUP(Amazon_1P__2[[#This Row],[ASIN]],'[1]Table1 (2)'!$A:$B,2,FALSE)</f>
        <v>TK-RESINKIT-31-400</v>
      </c>
      <c r="F42">
        <v>1</v>
      </c>
      <c r="G42" s="8">
        <v>505.08</v>
      </c>
      <c r="H42" s="2" t="s">
        <v>113</v>
      </c>
    </row>
    <row r="43" spans="1:8" x14ac:dyDescent="0.25">
      <c r="A43" s="1">
        <v>45893</v>
      </c>
      <c r="B43" t="s">
        <v>55</v>
      </c>
      <c r="C43" t="str">
        <f>VLOOKUP(Amazon_1P__2[[#This Row],[ASIN]],[1]Table1__2!$C:$E,3,FALSE)</f>
        <v>Wardrobe Organizer</v>
      </c>
      <c r="D43" t="s">
        <v>27</v>
      </c>
      <c r="E43" t="str">
        <f>VLOOKUP(Amazon_1P__2[[#This Row],[ASIN]],'[1]Table1 (2)'!$A:$B,2,FALSE)</f>
        <v>BJWZ0010-OXGYSTL-P1</v>
      </c>
      <c r="F43">
        <v>2</v>
      </c>
      <c r="G43" s="8">
        <v>505.08</v>
      </c>
      <c r="H43" s="2" t="s">
        <v>113</v>
      </c>
    </row>
    <row r="44" spans="1:8" x14ac:dyDescent="0.25">
      <c r="A44" s="1">
        <v>45893</v>
      </c>
      <c r="B44" t="s">
        <v>56</v>
      </c>
      <c r="C44" t="str">
        <f>VLOOKUP(Amazon_1P__2[[#This Row],[ASIN]],[1]Table1__2!$C:$E,3,FALSE)</f>
        <v>Wardrobe Organizer</v>
      </c>
      <c r="D44" t="s">
        <v>27</v>
      </c>
      <c r="E44" t="str">
        <f>VLOOKUP(Amazon_1P__2[[#This Row],[ASIN]],[2]Sheet1!$B:$E,4,FALSE)</f>
        <v>BJWZ0008-PVTRSTL-P2</v>
      </c>
      <c r="F44">
        <v>1</v>
      </c>
      <c r="G44" s="8">
        <v>463.56</v>
      </c>
      <c r="H44" s="2" t="s">
        <v>113</v>
      </c>
    </row>
    <row r="45" spans="1:8" x14ac:dyDescent="0.25">
      <c r="A45" s="1">
        <v>45893</v>
      </c>
      <c r="B45" t="s">
        <v>57</v>
      </c>
      <c r="C45" t="str">
        <f>VLOOKUP(Amazon_1P__2[[#This Row],[ASIN]],[1]Table1__2!$C:$E,3,FALSE)</f>
        <v>Tape</v>
      </c>
      <c r="D45" t="s">
        <v>32</v>
      </c>
      <c r="E45" t="str">
        <f>VLOOKUP(Amazon_1P__2[[#This Row],[ASIN]],'[1]Table1 (2)'!$A:$B,2,FALSE)</f>
        <v>TK-TAPE-ALUMINIUM-5M-2INCH</v>
      </c>
      <c r="F45">
        <v>2</v>
      </c>
      <c r="G45" s="8">
        <v>445.76</v>
      </c>
      <c r="H45" s="2" t="s">
        <v>113</v>
      </c>
    </row>
    <row r="46" spans="1:8" x14ac:dyDescent="0.25">
      <c r="A46" s="1">
        <v>45893</v>
      </c>
      <c r="B46" t="s">
        <v>58</v>
      </c>
      <c r="C46" t="str">
        <f>VLOOKUP(Amazon_1P__2[[#This Row],[ASIN]],[1]Table1__2!$C:$E,3,FALSE)</f>
        <v>Tape</v>
      </c>
      <c r="D46" t="s">
        <v>32</v>
      </c>
      <c r="E46" t="str">
        <f>VLOOKUP(Amazon_1P__2[[#This Row],[ASIN]],'[1]Table1 (2)'!$A:$B,2,FALSE)</f>
        <v>TK-TAPE-BOPP-BROWN-65M-2INCH-P2</v>
      </c>
      <c r="F46">
        <v>2</v>
      </c>
      <c r="G46" s="8">
        <v>381.36</v>
      </c>
      <c r="H46" s="2" t="s">
        <v>113</v>
      </c>
    </row>
    <row r="47" spans="1:8" x14ac:dyDescent="0.25">
      <c r="A47" s="1">
        <v>45893</v>
      </c>
      <c r="B47" t="s">
        <v>59</v>
      </c>
      <c r="C47" t="str">
        <f>VLOOKUP(Amazon_1P__2[[#This Row],[ASIN]],[1]Table1__2!$C:$E,3,FALSE)</f>
        <v>Tape</v>
      </c>
      <c r="D47" t="s">
        <v>32</v>
      </c>
      <c r="E47" t="str">
        <f>VLOOKUP(Amazon_1P__2[[#This Row],[ASIN]],'[1]Table1 (2)'!$A:$B,2,FALSE)</f>
        <v>TK-TAPE-BOPP-TRANS-65M-2INCH-P2</v>
      </c>
      <c r="F47">
        <v>2</v>
      </c>
      <c r="G47" s="8">
        <v>381.36</v>
      </c>
      <c r="H47" s="2" t="s">
        <v>113</v>
      </c>
    </row>
    <row r="48" spans="1:8" x14ac:dyDescent="0.25">
      <c r="A48" s="1">
        <v>45893</v>
      </c>
      <c r="B48" t="s">
        <v>60</v>
      </c>
      <c r="C48" t="str">
        <f>VLOOKUP(Amazon_1P__2[[#This Row],[ASIN]],[1]Table1__2!$C:$E,3,FALSE)</f>
        <v>Tape</v>
      </c>
      <c r="D48" t="s">
        <v>32</v>
      </c>
      <c r="E48" t="str">
        <f>VLOOKUP(Amazon_1P__2[[#This Row],[ASIN]],'[1]Table1 (2)'!$A:$B,2,FALSE)</f>
        <v>TK-TAPE-ANTISKID-5M-50MM-TRANS-FBA</v>
      </c>
      <c r="F48">
        <v>1</v>
      </c>
      <c r="G48" s="8">
        <v>355.93</v>
      </c>
      <c r="H48" s="2" t="s">
        <v>113</v>
      </c>
    </row>
    <row r="49" spans="1:8" x14ac:dyDescent="0.25">
      <c r="A49" s="1">
        <v>45893</v>
      </c>
      <c r="B49" t="s">
        <v>61</v>
      </c>
      <c r="C49" t="e">
        <f>VLOOKUP(Amazon_1P__2[[#This Row],[ASIN]],[1]Table1__2!$C:$E,3,FALSE)</f>
        <v>#N/A</v>
      </c>
      <c r="D49" t="s">
        <v>31</v>
      </c>
      <c r="E49" t="e">
        <f>VLOOKUP(Amazon_1P__2[[#This Row],[ASIN]],'[1]Table1 (2)'!$A:$B,2,FALSE)</f>
        <v>#N/A</v>
      </c>
      <c r="F49">
        <v>1</v>
      </c>
      <c r="G49" s="8">
        <v>327.96</v>
      </c>
      <c r="H49" s="2" t="s">
        <v>113</v>
      </c>
    </row>
    <row r="50" spans="1:8" x14ac:dyDescent="0.25">
      <c r="A50" s="1">
        <v>45893</v>
      </c>
      <c r="B50" t="s">
        <v>62</v>
      </c>
      <c r="C50" t="str">
        <f>VLOOKUP(Amazon_1P__2[[#This Row],[ASIN]],[1]Table1__2!$C:$E,3,FALSE)</f>
        <v>Tape</v>
      </c>
      <c r="D50" t="s">
        <v>32</v>
      </c>
      <c r="E50" t="str">
        <f>VLOOKUP(Amazon_1P__2[[#This Row],[ASIN]],'[1]Table1 (2)'!$A:$B,2,FALSE)</f>
        <v>TK-TAPE-ANTISKID-5M-50MM-YL-BLACK-FBA</v>
      </c>
      <c r="F50">
        <v>1</v>
      </c>
      <c r="G50" s="8">
        <v>299.14999999999998</v>
      </c>
      <c r="H50" s="2" t="s">
        <v>113</v>
      </c>
    </row>
    <row r="51" spans="1:8" x14ac:dyDescent="0.25">
      <c r="A51" s="1">
        <v>45893</v>
      </c>
      <c r="B51" t="s">
        <v>0</v>
      </c>
      <c r="C51" t="str">
        <f>VLOOKUP(Amazon_1P__2[[#This Row],[ASIN]],[1]Table1__2!$C:$E,3,FALSE)</f>
        <v>Body Care</v>
      </c>
      <c r="D51" t="s">
        <v>34</v>
      </c>
      <c r="E51" t="str">
        <f>VLOOKUP(Amazon_1P__2[[#This Row],[ASIN]],[2]Sheet1!$B:$E,4,FALSE)</f>
        <v>PRBCBW001-250-P1-FBA</v>
      </c>
      <c r="F51">
        <v>1</v>
      </c>
      <c r="G51" s="8">
        <v>211.02</v>
      </c>
      <c r="H51" s="2" t="s">
        <v>113</v>
      </c>
    </row>
    <row r="52" spans="1:8" x14ac:dyDescent="0.25">
      <c r="A52" s="1">
        <v>45893</v>
      </c>
      <c r="B52" t="s">
        <v>63</v>
      </c>
      <c r="C52" t="str">
        <f>VLOOKUP(Amazon_1P__2[[#This Row],[ASIN]],[1]Table1__2!$C:$E,3,FALSE)</f>
        <v>Tape</v>
      </c>
      <c r="D52" t="s">
        <v>32</v>
      </c>
      <c r="E52" t="str">
        <f>VLOOKUP(Amazon_1P__2[[#This Row],[ASIN]],'[1]Table1 (2)'!$A:$B,2,FALSE)</f>
        <v>TK-TAPE-ALUMINIUM-3M-2INCH</v>
      </c>
      <c r="F52">
        <v>2</v>
      </c>
      <c r="G52" s="8">
        <v>205.08</v>
      </c>
      <c r="H52" s="2" t="s">
        <v>113</v>
      </c>
    </row>
    <row r="53" spans="1:8" x14ac:dyDescent="0.25">
      <c r="A53" s="1">
        <v>45893</v>
      </c>
      <c r="B53" t="s">
        <v>64</v>
      </c>
      <c r="C53" t="str">
        <f>VLOOKUP(Amazon_1P__2[[#This Row],[ASIN]],[1]Table1__2!$C:$E,3,FALSE)</f>
        <v>Tape</v>
      </c>
      <c r="D53" t="s">
        <v>32</v>
      </c>
      <c r="E53" t="str">
        <f>VLOOKUP(Amazon_1P__2[[#This Row],[ASIN]],'[1]Table1 (2)'!$A:$B,2,FALSE)</f>
        <v>TK-TAPE-KRAFTPAPER-50M-2INCH</v>
      </c>
      <c r="F53">
        <v>1</v>
      </c>
      <c r="G53" s="8">
        <v>190.68</v>
      </c>
      <c r="H53" s="2" t="s">
        <v>113</v>
      </c>
    </row>
    <row r="54" spans="1:8" x14ac:dyDescent="0.25">
      <c r="A54" s="1">
        <v>45893</v>
      </c>
      <c r="B54" t="s">
        <v>65</v>
      </c>
      <c r="C54" t="str">
        <f>VLOOKUP(Amazon_1P__2[[#This Row],[ASIN]],[1]Table1__2!$C:$E,3,FALSE)</f>
        <v>Tape</v>
      </c>
      <c r="D54" t="s">
        <v>32</v>
      </c>
      <c r="E54" t="str">
        <f>VLOOKUP(Amazon_1P__2[[#This Row],[ASIN]],'[1]Table1 (2)'!$A:$B,2,FALSE)</f>
        <v>TK-TAPE-ELECTRICAL-6M-17MM-PACK6</v>
      </c>
      <c r="F54">
        <v>1</v>
      </c>
      <c r="G54" s="8">
        <v>153.38999999999999</v>
      </c>
      <c r="H54" s="2" t="s">
        <v>113</v>
      </c>
    </row>
    <row r="55" spans="1:8" x14ac:dyDescent="0.25">
      <c r="A55" s="1">
        <v>45893</v>
      </c>
      <c r="B55" t="s">
        <v>66</v>
      </c>
      <c r="C55" t="str">
        <f>VLOOKUP(Amazon_1P__2[[#This Row],[ASIN]],[1]Table1__2!$C:$E,3,FALSE)</f>
        <v>Tape</v>
      </c>
      <c r="D55" t="s">
        <v>32</v>
      </c>
      <c r="E55" t="str">
        <f>VLOOKUP(Amazon_1P__2[[#This Row],[ASIN]],'[1]Table1 (2)'!$A:$B,2,FALSE)</f>
        <v>TK-TAPE-MASKING-20M-12MM-PACK1</v>
      </c>
      <c r="F55">
        <v>2</v>
      </c>
      <c r="G55" s="8">
        <v>93.22</v>
      </c>
      <c r="H55" s="2" t="s">
        <v>113</v>
      </c>
    </row>
    <row r="56" spans="1:8" x14ac:dyDescent="0.25">
      <c r="A56" s="1">
        <v>45893</v>
      </c>
      <c r="B56" t="s">
        <v>67</v>
      </c>
      <c r="C56" t="str">
        <f>VLOOKUP(Amazon_1P__2[[#This Row],[ASIN]],[1]Table1__2!$C:$E,3,FALSE)</f>
        <v>Drawer Organizer</v>
      </c>
      <c r="D56" t="s">
        <v>27</v>
      </c>
      <c r="E56" t="str">
        <f>VLOOKUP(Amazon_1P__2[[#This Row],[ASIN]],'[1]Table1 (2)'!$A:$B,2,FALSE)</f>
        <v>BJDZ0004-PETRE8G</v>
      </c>
      <c r="F56">
        <v>0</v>
      </c>
      <c r="G56" s="8">
        <v>0.01</v>
      </c>
      <c r="H56" s="2" t="s">
        <v>113</v>
      </c>
    </row>
    <row r="57" spans="1:8" x14ac:dyDescent="0.25">
      <c r="A57" s="1">
        <v>45893</v>
      </c>
      <c r="B57" t="s">
        <v>68</v>
      </c>
      <c r="C57" t="str">
        <f>VLOOKUP(Amazon_1P__2[[#This Row],[ASIN]],[1]Table1__2!$C:$E,3,FALSE)</f>
        <v>Resin</v>
      </c>
      <c r="D57" t="s">
        <v>32</v>
      </c>
      <c r="E57" t="str">
        <f>VLOOKUP(Amazon_1P__2[[#This Row],[ASIN]],'[1]Table1 (2)'!$A:$B,2,FALSE)</f>
        <v>TK-RESINKIT-21-300-FBA</v>
      </c>
      <c r="F57">
        <v>0</v>
      </c>
      <c r="G57" s="8">
        <v>0</v>
      </c>
      <c r="H57" s="2" t="s">
        <v>113</v>
      </c>
    </row>
    <row r="58" spans="1:8" x14ac:dyDescent="0.25">
      <c r="A58" s="1">
        <v>45893</v>
      </c>
      <c r="B58" t="s">
        <v>69</v>
      </c>
      <c r="C58" t="str">
        <f>VLOOKUP(Amazon_1P__2[[#This Row],[ASIN]],[1]Table1__2!$C:$E,3,FALSE)</f>
        <v>Wardrobe Organizer</v>
      </c>
      <c r="D58" t="s">
        <v>27</v>
      </c>
      <c r="E58" t="str">
        <f>VLOOKUP(Amazon_1P__2[[#This Row],[ASIN]],'[1]Table1 (2)'!$A:$B,2,FALSE)</f>
        <v>BJWZ0008-PVTRSTL-P6</v>
      </c>
      <c r="F58">
        <v>0</v>
      </c>
      <c r="G58" s="8">
        <v>0</v>
      </c>
      <c r="H58" s="2" t="s">
        <v>113</v>
      </c>
    </row>
    <row r="59" spans="1:8" x14ac:dyDescent="0.25">
      <c r="A59" s="1">
        <v>45893</v>
      </c>
      <c r="B59" t="s">
        <v>70</v>
      </c>
      <c r="C59" t="str">
        <f>VLOOKUP(Amazon_1P__2[[#This Row],[ASIN]],[1]Table1__2!$C:$E,3,FALSE)</f>
        <v>Footwear Organizer</v>
      </c>
      <c r="D59" t="s">
        <v>27</v>
      </c>
      <c r="E59" t="str">
        <f>VLOOKUP(Amazon_1P__2[[#This Row],[ASIN]],'[1]Table1 (2)'!$A:$B,2,FALSE)</f>
        <v>BJFZ0015-PPWT5S-CLOTHRACK</v>
      </c>
      <c r="F59">
        <v>0</v>
      </c>
      <c r="G59" s="8">
        <v>0</v>
      </c>
      <c r="H59" s="2" t="s">
        <v>113</v>
      </c>
    </row>
    <row r="60" spans="1:8" x14ac:dyDescent="0.25">
      <c r="A60" s="1">
        <v>45893</v>
      </c>
      <c r="B60" t="s">
        <v>71</v>
      </c>
      <c r="C60" t="str">
        <f>VLOOKUP(Amazon_1P__2[[#This Row],[ASIN]],[1]Table1__2!$C:$E,3,FALSE)</f>
        <v>Tape</v>
      </c>
      <c r="D60" t="s">
        <v>32</v>
      </c>
      <c r="E60" t="str">
        <f>VLOOKUP(Amazon_1P__2[[#This Row],[ASIN]],'[1]Table1 (2)'!$A:$B,2,FALSE)</f>
        <v>TK-TAPE-FLOORMARKING-ZEBRA-15M-2INCH</v>
      </c>
      <c r="F60">
        <v>0</v>
      </c>
      <c r="G60" s="8">
        <v>0</v>
      </c>
      <c r="H60" s="2" t="s">
        <v>113</v>
      </c>
    </row>
    <row r="61" spans="1:8" x14ac:dyDescent="0.25">
      <c r="A61" s="1">
        <v>45893</v>
      </c>
      <c r="B61" t="s">
        <v>9</v>
      </c>
      <c r="C61" t="str">
        <f>VLOOKUP(Amazon_1P__2[[#This Row],[ASIN]],[1]Table1__2!$C:$E,3,FALSE)</f>
        <v>Footwear Organizer</v>
      </c>
      <c r="D61" t="s">
        <v>27</v>
      </c>
      <c r="E61" t="str">
        <f>VLOOKUP(Amazon_1P__2[[#This Row],[ASIN]],[2]Sheet1!$B:$E,4,FALSE)</f>
        <v>BJFZ0010-PPBT12S-CLOTHRACK</v>
      </c>
      <c r="F61">
        <v>0</v>
      </c>
      <c r="G61" s="8">
        <v>0</v>
      </c>
      <c r="H61" s="2" t="s">
        <v>113</v>
      </c>
    </row>
    <row r="62" spans="1:8" x14ac:dyDescent="0.25">
      <c r="A62" s="1">
        <v>45893</v>
      </c>
      <c r="B62" t="s">
        <v>72</v>
      </c>
      <c r="C62" t="str">
        <f>VLOOKUP(Amazon_1P__2[[#This Row],[ASIN]],[1]Table1__2!$C:$E,3,FALSE)</f>
        <v>Footwear Organizer</v>
      </c>
      <c r="D62" t="s">
        <v>27</v>
      </c>
      <c r="E62" t="str">
        <f>VLOOKUP(Amazon_1P__2[[#This Row],[ASIN]],'[1]Table1 (2)'!$A:$B,2,FALSE)</f>
        <v>BJFZ0014</v>
      </c>
      <c r="F62">
        <v>0</v>
      </c>
      <c r="G62" s="8">
        <v>0</v>
      </c>
      <c r="H62" s="2" t="s">
        <v>113</v>
      </c>
    </row>
    <row r="63" spans="1:8" x14ac:dyDescent="0.25">
      <c r="A63" s="1">
        <v>45893</v>
      </c>
      <c r="B63" t="s">
        <v>73</v>
      </c>
      <c r="C63" t="str">
        <f>VLOOKUP(Amazon_1P__2[[#This Row],[ASIN]],[1]Table1__2!$C:$E,3,FALSE)</f>
        <v>Footwear Organizer</v>
      </c>
      <c r="D63" t="s">
        <v>27</v>
      </c>
      <c r="E63" t="str">
        <f>VLOOKUP(Amazon_1P__2[[#This Row],[ASIN]],'[1]Table1 (2)'!$A:$B,2,FALSE)</f>
        <v>BJFZ0009</v>
      </c>
      <c r="F63">
        <v>0</v>
      </c>
      <c r="G63" s="8">
        <v>0</v>
      </c>
      <c r="H63" s="2" t="s">
        <v>113</v>
      </c>
    </row>
    <row r="64" spans="1:8" x14ac:dyDescent="0.25">
      <c r="A64" s="1">
        <v>45893</v>
      </c>
      <c r="B64" t="s">
        <v>74</v>
      </c>
      <c r="C64" t="str">
        <f>VLOOKUP(Amazon_1P__2[[#This Row],[ASIN]],[1]Table1__2!$C:$E,3,FALSE)</f>
        <v>Tape</v>
      </c>
      <c r="D64" t="s">
        <v>32</v>
      </c>
      <c r="E64" t="str">
        <f>VLOOKUP(Amazon_1P__2[[#This Row],[ASIN]],'[1]Table1 (2)'!$A:$B,2,FALSE)</f>
        <v>TK-TAPE-VASTU-WHITE-4INCH-15MTR</v>
      </c>
      <c r="F64">
        <v>0</v>
      </c>
      <c r="G64" s="8">
        <v>0</v>
      </c>
      <c r="H64" s="2" t="s">
        <v>113</v>
      </c>
    </row>
    <row r="65" spans="1:8" x14ac:dyDescent="0.25">
      <c r="A65" s="1">
        <v>45893</v>
      </c>
      <c r="B65" t="s">
        <v>75</v>
      </c>
      <c r="C65" t="str">
        <f>VLOOKUP(Amazon_1P__2[[#This Row],[ASIN]],[1]Table1__2!$C:$E,3,FALSE)</f>
        <v>Multipurpose Organizer</v>
      </c>
      <c r="D65" t="s">
        <v>27</v>
      </c>
      <c r="E65" t="str">
        <f>VLOOKUP(Amazon_1P__2[[#This Row],[ASIN]],'[1]Table1 (2)'!$A:$B,2,FALSE)</f>
        <v>BJMZ0006-PPBT02S</v>
      </c>
      <c r="F65">
        <v>0</v>
      </c>
      <c r="G65" s="8">
        <v>0</v>
      </c>
      <c r="H65" s="2" t="s">
        <v>113</v>
      </c>
    </row>
    <row r="66" spans="1:8" x14ac:dyDescent="0.25">
      <c r="A66" s="1">
        <v>45893</v>
      </c>
      <c r="B66" t="s">
        <v>76</v>
      </c>
      <c r="C66" t="str">
        <f>VLOOKUP(Amazon_1P__2[[#This Row],[ASIN]],[1]Table1__2!$C:$E,3,FALSE)</f>
        <v>Wardrobe Organizer</v>
      </c>
      <c r="D66" t="s">
        <v>27</v>
      </c>
      <c r="E66" t="str">
        <f>VLOOKUP(Amazon_1P__2[[#This Row],[ASIN]],'[1]Table1 (2)'!$A:$B,2,FALSE)</f>
        <v>BJWZ0008-PVTRSTL-P1</v>
      </c>
      <c r="F66">
        <v>0</v>
      </c>
      <c r="G66" s="8">
        <v>0</v>
      </c>
      <c r="H66" s="2" t="s">
        <v>113</v>
      </c>
    </row>
    <row r="67" spans="1:8" x14ac:dyDescent="0.25">
      <c r="A67" s="1">
        <v>45893</v>
      </c>
      <c r="B67" t="s">
        <v>77</v>
      </c>
      <c r="C67" t="str">
        <f>VLOOKUP(Amazon_1P__2[[#This Row],[ASIN]],[1]Table1__2!$C:$E,3,FALSE)</f>
        <v>Tape</v>
      </c>
      <c r="D67" t="s">
        <v>32</v>
      </c>
      <c r="E67" t="str">
        <f>VLOOKUP(Amazon_1P__2[[#This Row],[ASIN]],'[1]Table1 (2)'!$A:$B,2,FALSE)</f>
        <v>TK-TAPE-DUCT-25M-48MM</v>
      </c>
      <c r="F67">
        <v>0</v>
      </c>
      <c r="G67" s="8">
        <v>0</v>
      </c>
      <c r="H67" s="2" t="s">
        <v>113</v>
      </c>
    </row>
    <row r="68" spans="1:8" x14ac:dyDescent="0.25">
      <c r="A68" s="1">
        <v>45893</v>
      </c>
      <c r="B68" t="s">
        <v>1</v>
      </c>
      <c r="C68" t="str">
        <f>VLOOKUP(Amazon_1P__2[[#This Row],[ASIN]],[1]Table1__2!$C:$E,3,FALSE)</f>
        <v>Resin</v>
      </c>
      <c r="D68" t="s">
        <v>32</v>
      </c>
      <c r="E68" t="str">
        <f>VLOOKUP(Amazon_1P__2[[#This Row],[ASIN]],[2]Sheet1!$B:$E,4,FALSE)</f>
        <v>TK-RESIN-21-150-TWINCOASTER-FBA</v>
      </c>
      <c r="F68">
        <v>0</v>
      </c>
      <c r="G68" s="8">
        <v>0</v>
      </c>
      <c r="H68" s="2" t="s">
        <v>113</v>
      </c>
    </row>
    <row r="69" spans="1:8" x14ac:dyDescent="0.25">
      <c r="A69" s="1">
        <v>45893</v>
      </c>
      <c r="B69" t="s">
        <v>78</v>
      </c>
      <c r="C69" t="str">
        <f>VLOOKUP(Amazon_1P__2[[#This Row],[ASIN]],[1]Table1__2!$C:$E,3,FALSE)</f>
        <v>Resin</v>
      </c>
      <c r="D69" t="s">
        <v>32</v>
      </c>
      <c r="E69" t="str">
        <f>VLOOKUP(Amazon_1P__2[[#This Row],[ASIN]],'[1]Table1 (2)'!$A:$B,2,FALSE)</f>
        <v>TK-RESINKIT-21-150</v>
      </c>
      <c r="F69">
        <v>0</v>
      </c>
      <c r="G69" s="8">
        <v>0</v>
      </c>
      <c r="H69" s="2" t="s">
        <v>113</v>
      </c>
    </row>
    <row r="70" spans="1:8" x14ac:dyDescent="0.25">
      <c r="A70" s="1">
        <v>45893</v>
      </c>
      <c r="B70" t="s">
        <v>79</v>
      </c>
      <c r="C70" t="str">
        <f>VLOOKUP(Amazon_1P__2[[#This Row],[ASIN]],[1]Table1__2!$C:$E,3,FALSE)</f>
        <v>Tape</v>
      </c>
      <c r="D70" t="s">
        <v>32</v>
      </c>
      <c r="E70" t="str">
        <f>VLOOKUP(Amazon_1P__2[[#This Row],[ASIN]],'[1]Table1 (2)'!$A:$B,2,FALSE)</f>
        <v>TK-TAPE-VASTU-GREEN-4INCH-15MTR</v>
      </c>
      <c r="F70">
        <v>0</v>
      </c>
      <c r="G70" s="8">
        <v>0</v>
      </c>
      <c r="H70" s="2" t="s">
        <v>113</v>
      </c>
    </row>
    <row r="71" spans="1:8" x14ac:dyDescent="0.25">
      <c r="A71" s="1">
        <v>45893</v>
      </c>
      <c r="B71" t="s">
        <v>16</v>
      </c>
      <c r="C71" t="str">
        <f>VLOOKUP(Amazon_1P__2[[#This Row],[ASIN]],[1]Table1__2!$C:$E,3,FALSE)</f>
        <v>Wardrobe Organizer</v>
      </c>
      <c r="D71" t="s">
        <v>27</v>
      </c>
      <c r="E71" t="str">
        <f>VLOOKUP(Amazon_1P__2[[#This Row],[ASIN]],[2]Sheet1!$B:$E,4,FALSE)</f>
        <v>BJWZ0019-POLG110-FBA</v>
      </c>
      <c r="F71">
        <v>0</v>
      </c>
      <c r="G71" s="8">
        <v>0</v>
      </c>
      <c r="H71" s="2" t="s">
        <v>113</v>
      </c>
    </row>
    <row r="72" spans="1:8" x14ac:dyDescent="0.25">
      <c r="A72" s="1">
        <v>45893</v>
      </c>
      <c r="B72" t="s">
        <v>80</v>
      </c>
      <c r="C72" t="str">
        <f>VLOOKUP(Amazon_1P__2[[#This Row],[ASIN]],[1]Table1__2!$C:$E,3,FALSE)</f>
        <v>Tape</v>
      </c>
      <c r="D72" t="s">
        <v>32</v>
      </c>
      <c r="E72" t="str">
        <f>VLOOKUP(Amazon_1P__2[[#This Row],[ASIN]],'[1]Table1 (2)'!$A:$B,2,FALSE)</f>
        <v>TK-TAPE-ANTISKID-5M-50MM-BLACK-FBA</v>
      </c>
      <c r="F72">
        <v>0</v>
      </c>
      <c r="G72" s="8">
        <v>0</v>
      </c>
      <c r="H72" s="2" t="s">
        <v>113</v>
      </c>
    </row>
    <row r="73" spans="1:8" x14ac:dyDescent="0.25">
      <c r="A73" s="1">
        <v>45893</v>
      </c>
      <c r="B73" t="s">
        <v>81</v>
      </c>
      <c r="C73" t="str">
        <f>VLOOKUP(Amazon_1P__2[[#This Row],[ASIN]],[1]Table1__2!$C:$E,3,FALSE)</f>
        <v>Tape</v>
      </c>
      <c r="D73" t="s">
        <v>32</v>
      </c>
      <c r="E73" t="str">
        <f>VLOOKUP(Amazon_1P__2[[#This Row],[ASIN]],'[1]Table1 (2)'!$A:$B,2,FALSE)</f>
        <v>TK-TAPE-BOPP-TRANS-65M-3INCH-P1</v>
      </c>
      <c r="F73">
        <v>0</v>
      </c>
      <c r="G73" s="8">
        <v>0</v>
      </c>
      <c r="H73" s="2" t="s">
        <v>113</v>
      </c>
    </row>
    <row r="74" spans="1:8" x14ac:dyDescent="0.25">
      <c r="A74" s="1">
        <v>45894</v>
      </c>
      <c r="B74" t="s">
        <v>26</v>
      </c>
      <c r="C74" t="str">
        <f>VLOOKUP(Amazon_1P__2[[#This Row],[ASIN]],[1]Table1__2!$C:$E,3,FALSE)</f>
        <v>Footwear Organizer</v>
      </c>
      <c r="D74" t="s">
        <v>27</v>
      </c>
      <c r="E74" t="str">
        <f>VLOOKUP(Amazon_1P__2[[#This Row],[ASIN]],'[1]Table1 (2)'!$A:$B,2,FALSE)</f>
        <v>BJFZ0016</v>
      </c>
      <c r="F74">
        <v>92</v>
      </c>
      <c r="G74" s="8">
        <v>128566.32</v>
      </c>
      <c r="H74" s="2" t="s">
        <v>113</v>
      </c>
    </row>
    <row r="75" spans="1:8" x14ac:dyDescent="0.25">
      <c r="A75" s="1">
        <v>45894</v>
      </c>
      <c r="B75" t="s">
        <v>33</v>
      </c>
      <c r="C75" t="str">
        <f>VLOOKUP(Amazon_1P__2[[#This Row],[ASIN]],[1]Table1__2!$C:$E,3,FALSE)</f>
        <v>Footwear Organizer</v>
      </c>
      <c r="D75" t="s">
        <v>27</v>
      </c>
      <c r="E75" t="str">
        <f>VLOOKUP(Amazon_1P__2[[#This Row],[ASIN]],'[1]Table1 (2)'!$A:$B,2,FALSE)</f>
        <v>BJFZ0010</v>
      </c>
      <c r="F75">
        <v>16</v>
      </c>
      <c r="G75" s="8">
        <v>33538.980000000003</v>
      </c>
      <c r="H75" s="2" t="s">
        <v>113</v>
      </c>
    </row>
    <row r="76" spans="1:8" x14ac:dyDescent="0.25">
      <c r="A76" s="1">
        <v>45894</v>
      </c>
      <c r="B76" t="s">
        <v>30</v>
      </c>
      <c r="C76" t="e">
        <f>VLOOKUP(Amazon_1P__2[[#This Row],[ASIN]],[1]Table1__2!$C:$E,3,FALSE)</f>
        <v>#N/A</v>
      </c>
      <c r="D76" t="s">
        <v>31</v>
      </c>
      <c r="E76" t="e">
        <f>VLOOKUP(Amazon_1P__2[[#This Row],[ASIN]],'[1]Table1 (2)'!$A:$B,2,FALSE)</f>
        <v>#N/A</v>
      </c>
      <c r="F76">
        <v>3</v>
      </c>
      <c r="G76" s="8">
        <v>15536.43</v>
      </c>
      <c r="H76" s="2" t="s">
        <v>113</v>
      </c>
    </row>
    <row r="77" spans="1:8" x14ac:dyDescent="0.25">
      <c r="A77" s="1">
        <v>45894</v>
      </c>
      <c r="B77" t="s">
        <v>12</v>
      </c>
      <c r="C77" t="str">
        <f>VLOOKUP(Amazon_1P__2[[#This Row],[ASIN]],[1]Table1__2!$C:$E,3,FALSE)</f>
        <v>Resin</v>
      </c>
      <c r="D77" t="s">
        <v>32</v>
      </c>
      <c r="E77" t="str">
        <f>VLOOKUP(Amazon_1P__2[[#This Row],[ASIN]],[2]Sheet1!$B:$E,4,FALSE)</f>
        <v>TK-RESIN-21-150-ULTIMATE</v>
      </c>
      <c r="F77">
        <v>17</v>
      </c>
      <c r="G77" s="8">
        <v>12778.79</v>
      </c>
      <c r="H77" s="2" t="s">
        <v>113</v>
      </c>
    </row>
    <row r="78" spans="1:8" x14ac:dyDescent="0.25">
      <c r="A78" s="1">
        <v>45894</v>
      </c>
      <c r="B78" t="s">
        <v>28</v>
      </c>
      <c r="C78" t="str">
        <f>VLOOKUP(Amazon_1P__2[[#This Row],[ASIN]],[1]Table1__2!$C:$E,3,FALSE)</f>
        <v>Footwear Organizer</v>
      </c>
      <c r="D78" t="s">
        <v>27</v>
      </c>
      <c r="E78" t="str">
        <f>VLOOKUP(Amazon_1P__2[[#This Row],[ASIN]],'[1]Table1 (2)'!$A:$B,2,FALSE)</f>
        <v>BJFZ0013</v>
      </c>
      <c r="F78">
        <v>8</v>
      </c>
      <c r="G78" s="8">
        <v>12711.84</v>
      </c>
      <c r="H78" s="2" t="s">
        <v>113</v>
      </c>
    </row>
    <row r="79" spans="1:8" x14ac:dyDescent="0.25">
      <c r="A79" s="1">
        <v>45894</v>
      </c>
      <c r="B79" t="s">
        <v>40</v>
      </c>
      <c r="C79" t="str">
        <f>VLOOKUP(Amazon_1P__2[[#This Row],[ASIN]],[1]Table1__2!$C:$E,3,FALSE)</f>
        <v>Footwear Organizer</v>
      </c>
      <c r="D79" t="s">
        <v>27</v>
      </c>
      <c r="E79" t="str">
        <f>VLOOKUP(Amazon_1P__2[[#This Row],[ASIN]],'[1]Table1 (2)'!$A:$B,2,FALSE)</f>
        <v>BJFZ0008</v>
      </c>
      <c r="F79">
        <v>3</v>
      </c>
      <c r="G79" s="8">
        <v>6287.28</v>
      </c>
      <c r="H79" s="2" t="s">
        <v>113</v>
      </c>
    </row>
    <row r="80" spans="1:8" x14ac:dyDescent="0.25">
      <c r="A80" s="1">
        <v>45894</v>
      </c>
      <c r="B80" t="s">
        <v>29</v>
      </c>
      <c r="C80" t="str">
        <f>VLOOKUP(Amazon_1P__2[[#This Row],[ASIN]],[1]Table1__2!$C:$E,3,FALSE)</f>
        <v>Footwear Organizer</v>
      </c>
      <c r="D80" t="s">
        <v>27</v>
      </c>
      <c r="E80" t="str">
        <f>VLOOKUP(Amazon_1P__2[[#This Row],[ASIN]],'[1]Table1 (2)'!$A:$B,2,FALSE)</f>
        <v>BJFZ0015</v>
      </c>
      <c r="F80">
        <v>4</v>
      </c>
      <c r="G80" s="8">
        <v>5584.76</v>
      </c>
      <c r="H80" s="2" t="s">
        <v>113</v>
      </c>
    </row>
    <row r="81" spans="1:8" x14ac:dyDescent="0.25">
      <c r="A81" s="1">
        <v>45894</v>
      </c>
      <c r="B81" t="s">
        <v>14</v>
      </c>
      <c r="C81" t="str">
        <f>VLOOKUP(Amazon_1P__2[[#This Row],[ASIN]],[1]Table1__2!$C:$E,3,FALSE)</f>
        <v>Wardrobe Organizer</v>
      </c>
      <c r="D81" t="s">
        <v>27</v>
      </c>
      <c r="E81" t="str">
        <f>VLOOKUP(Amazon_1P__2[[#This Row],[ASIN]],[2]Sheet1!$B:$E,4,FALSE)</f>
        <v>BJWZ0017-POLG24L-FBA</v>
      </c>
      <c r="F81">
        <v>8</v>
      </c>
      <c r="G81" s="8">
        <v>5125.4399999999996</v>
      </c>
      <c r="H81" s="2" t="s">
        <v>113</v>
      </c>
    </row>
    <row r="82" spans="1:8" x14ac:dyDescent="0.25">
      <c r="A82" s="1">
        <v>45894</v>
      </c>
      <c r="B82" t="s">
        <v>39</v>
      </c>
      <c r="C82" t="str">
        <f>VLOOKUP(Amazon_1P__2[[#This Row],[ASIN]],[1]Table1__2!$C:$E,3,FALSE)</f>
        <v>Wardrobe Organizer</v>
      </c>
      <c r="D82" t="s">
        <v>27</v>
      </c>
      <c r="E82" t="str">
        <f>VLOOKUP(Amazon_1P__2[[#This Row],[ASIN]],[2]Sheet1!$B:$E,4,FALSE)</f>
        <v>BJWZ0003-POLG17G-FBA</v>
      </c>
      <c r="F82">
        <v>8</v>
      </c>
      <c r="G82" s="8">
        <v>2684.74</v>
      </c>
      <c r="H82" s="2" t="s">
        <v>113</v>
      </c>
    </row>
    <row r="83" spans="1:8" x14ac:dyDescent="0.25">
      <c r="A83" s="1">
        <v>45894</v>
      </c>
      <c r="B83" t="s">
        <v>69</v>
      </c>
      <c r="C83" t="str">
        <f>VLOOKUP(Amazon_1P__2[[#This Row],[ASIN]],[1]Table1__2!$C:$E,3,FALSE)</f>
        <v>Wardrobe Organizer</v>
      </c>
      <c r="D83" t="s">
        <v>27</v>
      </c>
      <c r="E83" t="str">
        <f>VLOOKUP(Amazon_1P__2[[#This Row],[ASIN]],'[1]Table1 (2)'!$A:$B,2,FALSE)</f>
        <v>BJWZ0008-PVTRSTL-P6</v>
      </c>
      <c r="F83">
        <v>2</v>
      </c>
      <c r="G83" s="8">
        <v>2540.6799999999998</v>
      </c>
      <c r="H83" s="2" t="s">
        <v>113</v>
      </c>
    </row>
    <row r="84" spans="1:8" x14ac:dyDescent="0.25">
      <c r="A84" s="1">
        <v>45894</v>
      </c>
      <c r="B84" t="s">
        <v>22</v>
      </c>
      <c r="C84" t="str">
        <f>VLOOKUP(Amazon_1P__2[[#This Row],[ASIN]],[1]Table1__2!$C:$E,3,FALSE)</f>
        <v>Wardrobe Organizer</v>
      </c>
      <c r="D84" t="s">
        <v>27</v>
      </c>
      <c r="E84" t="str">
        <f>VLOOKUP(Amazon_1P__2[[#This Row],[ASIN]],[2]Sheet1!$B:$E,4,FALSE)</f>
        <v>BJWZ0014-PVTR24L-FBA</v>
      </c>
      <c r="F84">
        <v>4</v>
      </c>
      <c r="G84" s="8">
        <v>2538.9699999999998</v>
      </c>
      <c r="H84" s="2" t="s">
        <v>113</v>
      </c>
    </row>
    <row r="85" spans="1:8" x14ac:dyDescent="0.25">
      <c r="A85" s="1">
        <v>45894</v>
      </c>
      <c r="B85" t="s">
        <v>46</v>
      </c>
      <c r="C85" t="str">
        <f>VLOOKUP(Amazon_1P__2[[#This Row],[ASIN]],[1]Table1__2!$C:$E,3,FALSE)</f>
        <v>Resin</v>
      </c>
      <c r="D85" t="s">
        <v>32</v>
      </c>
      <c r="E85" t="str">
        <f>VLOOKUP(Amazon_1P__2[[#This Row],[ASIN]],'[1]Table1 (2)'!$A:$B,2,FALSE)</f>
        <v>TK-RESINKIT-21-1500</v>
      </c>
      <c r="F85">
        <v>2</v>
      </c>
      <c r="G85" s="8">
        <v>2537.2800000000002</v>
      </c>
      <c r="H85" s="2" t="s">
        <v>113</v>
      </c>
    </row>
    <row r="86" spans="1:8" x14ac:dyDescent="0.25">
      <c r="A86" s="1">
        <v>45894</v>
      </c>
      <c r="B86" t="s">
        <v>35</v>
      </c>
      <c r="C86" t="str">
        <f>VLOOKUP(Amazon_1P__2[[#This Row],[ASIN]],[1]Table1__2!$C:$E,3,FALSE)</f>
        <v>Face Care</v>
      </c>
      <c r="D86" t="s">
        <v>34</v>
      </c>
      <c r="E86" t="str">
        <f>VLOOKUP(Amazon_1P__2[[#This Row],[ASIN]],[2]Sheet1!$B:$E,4,FALSE)</f>
        <v>PRFCLB001-04-P1</v>
      </c>
      <c r="F86">
        <v>15</v>
      </c>
      <c r="G86" s="8">
        <v>2275.38</v>
      </c>
      <c r="H86" s="2" t="s">
        <v>113</v>
      </c>
    </row>
    <row r="87" spans="1:8" x14ac:dyDescent="0.25">
      <c r="A87" s="1">
        <v>45894</v>
      </c>
      <c r="B87" t="s">
        <v>73</v>
      </c>
      <c r="C87" t="str">
        <f>VLOOKUP(Amazon_1P__2[[#This Row],[ASIN]],[1]Table1__2!$C:$E,3,FALSE)</f>
        <v>Footwear Organizer</v>
      </c>
      <c r="D87" t="s">
        <v>27</v>
      </c>
      <c r="E87" t="str">
        <f>VLOOKUP(Amazon_1P__2[[#This Row],[ASIN]],'[1]Table1 (2)'!$A:$B,2,FALSE)</f>
        <v>BJFZ0009</v>
      </c>
      <c r="F87">
        <v>1</v>
      </c>
      <c r="G87" s="8">
        <v>2096.61</v>
      </c>
      <c r="H87" s="2" t="s">
        <v>113</v>
      </c>
    </row>
    <row r="88" spans="1:8" x14ac:dyDescent="0.25">
      <c r="A88" s="1">
        <v>45894</v>
      </c>
      <c r="B88" t="s">
        <v>7</v>
      </c>
      <c r="C88" t="str">
        <f>VLOOKUP(Amazon_1P__2[[#This Row],[ASIN]],[1]Table1__2!$C:$E,3,FALSE)</f>
        <v>Wardrobe Organizer</v>
      </c>
      <c r="D88" t="s">
        <v>27</v>
      </c>
      <c r="E88" t="str">
        <f>VLOOKUP(Amazon_1P__2[[#This Row],[ASIN]],[2]Sheet1!$B:$E,4,FALSE)</f>
        <v>BJWZ0029-VBTRJP3-FBA</v>
      </c>
      <c r="F88">
        <v>4</v>
      </c>
      <c r="G88" s="8">
        <v>1857.61</v>
      </c>
      <c r="H88" s="2" t="s">
        <v>113</v>
      </c>
    </row>
    <row r="89" spans="1:8" x14ac:dyDescent="0.25">
      <c r="A89" s="1">
        <v>45894</v>
      </c>
      <c r="B89" t="s">
        <v>82</v>
      </c>
      <c r="C89" t="str">
        <f>VLOOKUP(Amazon_1P__2[[#This Row],[ASIN]],[1]Table1__2!$C:$E,3,FALSE)</f>
        <v>Multipurpose Organizer</v>
      </c>
      <c r="D89" t="s">
        <v>27</v>
      </c>
      <c r="E89" t="str">
        <f>VLOOKUP(Amazon_1P__2[[#This Row],[ASIN]],'[1]Table1 (2)'!$A:$B,2,FALSE)</f>
        <v>BJMZ00011-PPWT08S</v>
      </c>
      <c r="F89">
        <v>1</v>
      </c>
      <c r="G89" s="8">
        <v>1694.07</v>
      </c>
      <c r="H89" s="2" t="s">
        <v>113</v>
      </c>
    </row>
    <row r="90" spans="1:8" x14ac:dyDescent="0.25">
      <c r="A90" s="1">
        <v>45894</v>
      </c>
      <c r="B90" t="s">
        <v>36</v>
      </c>
      <c r="C90" t="str">
        <f>VLOOKUP(Amazon_1P__2[[#This Row],[ASIN]],[1]Table1__2!$C:$E,3,FALSE)</f>
        <v>Wardrobe Organizer</v>
      </c>
      <c r="D90" t="s">
        <v>27</v>
      </c>
      <c r="E90" t="str">
        <f>VLOOKUP(Amazon_1P__2[[#This Row],[ASIN]],'[1]Table1 (2)'!$A:$B,2,FALSE)</f>
        <v>BJWZ0015-PVTR66L</v>
      </c>
      <c r="F90">
        <v>2</v>
      </c>
      <c r="G90" s="8">
        <v>1693.23</v>
      </c>
      <c r="H90" s="2" t="s">
        <v>113</v>
      </c>
    </row>
    <row r="91" spans="1:8" x14ac:dyDescent="0.25">
      <c r="A91" s="1">
        <v>45894</v>
      </c>
      <c r="B91" t="s">
        <v>23</v>
      </c>
      <c r="C91" t="str">
        <f>VLOOKUP(Amazon_1P__2[[#This Row],[ASIN]],[1]Table1__2!$C:$E,3,FALSE)</f>
        <v>Wardrobe Organizer</v>
      </c>
      <c r="D91" t="s">
        <v>27</v>
      </c>
      <c r="E91" t="str">
        <f>VLOOKUP(Amazon_1P__2[[#This Row],[ASIN]],[2]Sheet1!$B:$E,4,FALSE)</f>
        <v>BJWZ0008-PVTRSTL-P4</v>
      </c>
      <c r="F91">
        <v>2</v>
      </c>
      <c r="G91" s="8">
        <v>1693.22</v>
      </c>
      <c r="H91" s="2" t="s">
        <v>113</v>
      </c>
    </row>
    <row r="92" spans="1:8" x14ac:dyDescent="0.25">
      <c r="A92" s="1">
        <v>45894</v>
      </c>
      <c r="B92" t="s">
        <v>83</v>
      </c>
      <c r="C92" t="str">
        <f>VLOOKUP(Amazon_1P__2[[#This Row],[ASIN]],[1]Table1__2!$C:$E,3,FALSE)</f>
        <v>Wardrobe Organizer</v>
      </c>
      <c r="D92" t="s">
        <v>27</v>
      </c>
      <c r="E92" t="str">
        <f>VLOOKUP(Amazon_1P__2[[#This Row],[ASIN]],'[1]Table1 (2)'!$A:$B,2,FALSE)</f>
        <v>BJWZ0012-PCLGSTL-P6</v>
      </c>
      <c r="F92">
        <v>1</v>
      </c>
      <c r="G92" s="8">
        <v>1693.22</v>
      </c>
      <c r="H92" s="2" t="s">
        <v>113</v>
      </c>
    </row>
    <row r="93" spans="1:8" x14ac:dyDescent="0.25">
      <c r="A93" s="1">
        <v>45894</v>
      </c>
      <c r="B93" t="s">
        <v>37</v>
      </c>
      <c r="C93" t="str">
        <f>VLOOKUP(Amazon_1P__2[[#This Row],[ASIN]],[1]Table1__2!$C:$E,3,FALSE)</f>
        <v>Footwear Organizer</v>
      </c>
      <c r="D93" t="s">
        <v>27</v>
      </c>
      <c r="E93" t="str">
        <f>VLOOKUP(Amazon_1P__2[[#This Row],[ASIN]],'[1]Table1 (2)'!$A:$B,2,FALSE)</f>
        <v>BJFZ0011</v>
      </c>
      <c r="F93">
        <v>1</v>
      </c>
      <c r="G93" s="8">
        <v>1588.98</v>
      </c>
      <c r="H93" s="2" t="s">
        <v>113</v>
      </c>
    </row>
    <row r="94" spans="1:8" x14ac:dyDescent="0.25">
      <c r="A94" s="1">
        <v>45894</v>
      </c>
      <c r="B94" t="s">
        <v>43</v>
      </c>
      <c r="C94" t="str">
        <f>VLOOKUP(Amazon_1P__2[[#This Row],[ASIN]],[1]Table1__2!$C:$E,3,FALSE)</f>
        <v>Footwear Organizer</v>
      </c>
      <c r="D94" t="s">
        <v>27</v>
      </c>
      <c r="E94" t="str">
        <f>VLOOKUP(Amazon_1P__2[[#This Row],[ASIN]],'[1]Table1 (2)'!$A:$B,2,FALSE)</f>
        <v>BJFZ0012</v>
      </c>
      <c r="F94">
        <v>1</v>
      </c>
      <c r="G94" s="8">
        <v>1588.98</v>
      </c>
      <c r="H94" s="2" t="s">
        <v>113</v>
      </c>
    </row>
    <row r="95" spans="1:8" x14ac:dyDescent="0.25">
      <c r="A95" s="1">
        <v>45894</v>
      </c>
      <c r="B95" t="s">
        <v>38</v>
      </c>
      <c r="C95" t="str">
        <f>VLOOKUP(Amazon_1P__2[[#This Row],[ASIN]],[1]Table1__2!$C:$E,3,FALSE)</f>
        <v>Tape</v>
      </c>
      <c r="D95" t="s">
        <v>32</v>
      </c>
      <c r="E95" t="str">
        <f>VLOOKUP(Amazon_1P__2[[#This Row],[ASIN]],'[1]Table1 (2)'!$A:$B,2,FALSE)</f>
        <v>TK-TAPE-TISSUE-50M-1INCH</v>
      </c>
      <c r="F95">
        <v>11</v>
      </c>
      <c r="G95" s="8">
        <v>1538.2</v>
      </c>
      <c r="H95" s="2" t="s">
        <v>113</v>
      </c>
    </row>
    <row r="96" spans="1:8" x14ac:dyDescent="0.25">
      <c r="A96" s="1">
        <v>45894</v>
      </c>
      <c r="B96" t="s">
        <v>84</v>
      </c>
      <c r="C96" t="str">
        <f>VLOOKUP(Amazon_1P__2[[#This Row],[ASIN]],[1]Table1__2!$C:$E,3,FALSE)</f>
        <v>Resin</v>
      </c>
      <c r="D96" t="s">
        <v>32</v>
      </c>
      <c r="E96" t="str">
        <f>VLOOKUP(Amazon_1P__2[[#This Row],[ASIN]],'[1]Table1 (2)'!$A:$B,2,FALSE)</f>
        <v>TK-RESINKIT-21-750</v>
      </c>
      <c r="F96">
        <v>2</v>
      </c>
      <c r="G96" s="8">
        <v>1489.84</v>
      </c>
      <c r="H96" s="2" t="s">
        <v>113</v>
      </c>
    </row>
    <row r="97" spans="1:8" x14ac:dyDescent="0.25">
      <c r="A97" s="1">
        <v>45894</v>
      </c>
      <c r="B97" t="s">
        <v>42</v>
      </c>
      <c r="C97" t="str">
        <f>VLOOKUP(Amazon_1P__2[[#This Row],[ASIN]],[1]Table1__2!$C:$E,3,FALSE)</f>
        <v>Wardrobe Organizer</v>
      </c>
      <c r="D97" t="s">
        <v>27</v>
      </c>
      <c r="E97" t="str">
        <f>VLOOKUP(Amazon_1P__2[[#This Row],[ASIN]],[2]Sheet1!$B:$E,4,FALSE)</f>
        <v>BJWZ0026-VBTRMLJ-FBA</v>
      </c>
      <c r="F97">
        <v>3</v>
      </c>
      <c r="G97" s="8">
        <v>1382.21</v>
      </c>
      <c r="H97" s="2" t="s">
        <v>113</v>
      </c>
    </row>
    <row r="98" spans="1:8" x14ac:dyDescent="0.25">
      <c r="A98" s="1">
        <v>45894</v>
      </c>
      <c r="B98" t="s">
        <v>10</v>
      </c>
      <c r="C98" t="str">
        <f>VLOOKUP(Amazon_1P__2[[#This Row],[ASIN]],[1]Table1__2!$C:$E,3,FALSE)</f>
        <v>Drawer Organizer</v>
      </c>
      <c r="D98" t="s">
        <v>27</v>
      </c>
      <c r="E98" t="str">
        <f>VLOOKUP(Amazon_1P__2[[#This Row],[ASIN]],[2]Sheet1!$B:$E,4,FALSE)</f>
        <v>BJDZ0002-PETR016-FBA</v>
      </c>
      <c r="F98">
        <v>2</v>
      </c>
      <c r="G98" s="8">
        <v>1354.24</v>
      </c>
      <c r="H98" s="2" t="s">
        <v>113</v>
      </c>
    </row>
    <row r="99" spans="1:8" x14ac:dyDescent="0.25">
      <c r="A99" s="1">
        <v>45894</v>
      </c>
      <c r="B99" t="s">
        <v>18</v>
      </c>
      <c r="C99" t="str">
        <f>VLOOKUP(Amazon_1P__2[[#This Row],[ASIN]],[1]Table1__2!$C:$E,3,FALSE)</f>
        <v>Wardrobe Organizer</v>
      </c>
      <c r="D99" t="s">
        <v>27</v>
      </c>
      <c r="E99" t="str">
        <f>VLOOKUP(Amazon_1P__2[[#This Row],[ASIN]],[2]Sheet1!$B:$E,4,FALSE)</f>
        <v>BJWZ0010-OXGYSTL-P6-FBA</v>
      </c>
      <c r="F99">
        <v>1</v>
      </c>
      <c r="G99" s="8">
        <v>1184.75</v>
      </c>
      <c r="H99" s="2" t="s">
        <v>113</v>
      </c>
    </row>
    <row r="100" spans="1:8" x14ac:dyDescent="0.25">
      <c r="A100" s="1">
        <v>45894</v>
      </c>
      <c r="B100" t="s">
        <v>3</v>
      </c>
      <c r="C100" t="str">
        <f>VLOOKUP(Amazon_1P__2[[#This Row],[ASIN]],[1]Table1__2!$C:$E,3,FALSE)</f>
        <v>Face Care</v>
      </c>
      <c r="D100" t="s">
        <v>34</v>
      </c>
      <c r="E100" t="str">
        <f>VLOOKUP(Amazon_1P__2[[#This Row],[ASIN]],[2]Sheet1!$B:$E,4,FALSE)</f>
        <v>PRFCSS001-50-P1-FBA</v>
      </c>
      <c r="F100">
        <v>7</v>
      </c>
      <c r="G100" s="8">
        <v>1180.48</v>
      </c>
      <c r="H100" s="2" t="s">
        <v>113</v>
      </c>
    </row>
    <row r="101" spans="1:8" x14ac:dyDescent="0.25">
      <c r="A101" s="1">
        <v>45894</v>
      </c>
      <c r="B101" t="s">
        <v>15</v>
      </c>
      <c r="C101" t="str">
        <f>VLOOKUP(Amazon_1P__2[[#This Row],[ASIN]],[1]Table1__2!$C:$E,3,FALSE)</f>
        <v>Wardrobe Organizer</v>
      </c>
      <c r="D101" t="s">
        <v>27</v>
      </c>
      <c r="E101" t="str">
        <f>VLOOKUP(Amazon_1P__2[[#This Row],[ASIN]],[2]Sheet1!$B:$E,4,FALSE)</f>
        <v>BJWZ0010-OXGYSTL-P2-FBA</v>
      </c>
      <c r="F101">
        <v>2</v>
      </c>
      <c r="G101" s="8">
        <v>955.93</v>
      </c>
      <c r="H101" s="2" t="s">
        <v>113</v>
      </c>
    </row>
    <row r="102" spans="1:8" x14ac:dyDescent="0.25">
      <c r="A102" s="1">
        <v>45894</v>
      </c>
      <c r="B102" t="s">
        <v>21</v>
      </c>
      <c r="C102" t="str">
        <f>VLOOKUP(Amazon_1P__2[[#This Row],[ASIN]],[1]Table1__2!$C:$E,3,FALSE)</f>
        <v>Wardrobe Organizer</v>
      </c>
      <c r="D102" t="s">
        <v>27</v>
      </c>
      <c r="E102" t="str">
        <f>VLOOKUP(Amazon_1P__2[[#This Row],[ASIN]],[2]Sheet1!$B:$E,4,FALSE)</f>
        <v>BJWZ0034-VBTRC12-FBA</v>
      </c>
      <c r="F102">
        <v>1</v>
      </c>
      <c r="G102" s="8">
        <v>930.51</v>
      </c>
      <c r="H102" s="2" t="s">
        <v>113</v>
      </c>
    </row>
    <row r="103" spans="1:8" x14ac:dyDescent="0.25">
      <c r="A103" s="1">
        <v>45894</v>
      </c>
      <c r="B103" t="s">
        <v>56</v>
      </c>
      <c r="C103" t="str">
        <f>VLOOKUP(Amazon_1P__2[[#This Row],[ASIN]],[1]Table1__2!$C:$E,3,FALSE)</f>
        <v>Wardrobe Organizer</v>
      </c>
      <c r="D103" t="s">
        <v>27</v>
      </c>
      <c r="E103" t="str">
        <f>VLOOKUP(Amazon_1P__2[[#This Row],[ASIN]],[2]Sheet1!$B:$E,4,FALSE)</f>
        <v>BJWZ0008-PVTRSTL-P2</v>
      </c>
      <c r="F103">
        <v>2</v>
      </c>
      <c r="G103" s="8">
        <v>927.12</v>
      </c>
      <c r="H103" s="2" t="s">
        <v>113</v>
      </c>
    </row>
    <row r="104" spans="1:8" x14ac:dyDescent="0.25">
      <c r="A104" s="1">
        <v>45894</v>
      </c>
      <c r="B104" t="s">
        <v>66</v>
      </c>
      <c r="C104" t="str">
        <f>VLOOKUP(Amazon_1P__2[[#This Row],[ASIN]],[1]Table1__2!$C:$E,3,FALSE)</f>
        <v>Tape</v>
      </c>
      <c r="D104" t="s">
        <v>32</v>
      </c>
      <c r="E104" t="str">
        <f>VLOOKUP(Amazon_1P__2[[#This Row],[ASIN]],'[1]Table1 (2)'!$A:$B,2,FALSE)</f>
        <v>TK-TAPE-MASKING-20M-12MM-PACK1</v>
      </c>
      <c r="F104">
        <v>18</v>
      </c>
      <c r="G104" s="8">
        <v>839.02</v>
      </c>
      <c r="H104" s="2" t="s">
        <v>113</v>
      </c>
    </row>
    <row r="105" spans="1:8" x14ac:dyDescent="0.25">
      <c r="A105" s="1">
        <v>45894</v>
      </c>
      <c r="B105" t="s">
        <v>2</v>
      </c>
      <c r="C105" t="str">
        <f>VLOOKUP(Amazon_1P__2[[#This Row],[ASIN]],[1]Table1__2!$C:$E,3,FALSE)</f>
        <v>Face Care</v>
      </c>
      <c r="D105" t="s">
        <v>34</v>
      </c>
      <c r="E105" t="str">
        <f>VLOOKUP(Amazon_1P__2[[#This Row],[ASIN]],[2]Sheet1!$B:$E,4,FALSE)</f>
        <v>PRFCFW001-100-P1-FBA</v>
      </c>
      <c r="F105">
        <v>4</v>
      </c>
      <c r="G105" s="8">
        <v>674.56</v>
      </c>
      <c r="H105" s="2" t="s">
        <v>113</v>
      </c>
    </row>
    <row r="106" spans="1:8" x14ac:dyDescent="0.25">
      <c r="A106" s="1">
        <v>45894</v>
      </c>
      <c r="B106" t="s">
        <v>5</v>
      </c>
      <c r="C106" t="str">
        <f>VLOOKUP(Amazon_1P__2[[#This Row],[ASIN]],[1]Table1__2!$C:$E,3,FALSE)</f>
        <v>Wardrobe Organizer</v>
      </c>
      <c r="D106" t="s">
        <v>27</v>
      </c>
      <c r="E106" t="str">
        <f>VLOOKUP(Amazon_1P__2[[#This Row],[ASIN]],[2]Sheet1!$B:$E,4,FALSE)</f>
        <v>BJWZ0028-VBTRLP3-FBA</v>
      </c>
      <c r="F106">
        <v>2</v>
      </c>
      <c r="G106" s="8">
        <v>671.19</v>
      </c>
      <c r="H106" s="2" t="s">
        <v>113</v>
      </c>
    </row>
    <row r="107" spans="1:8" x14ac:dyDescent="0.25">
      <c r="A107" s="1">
        <v>45894</v>
      </c>
      <c r="B107" t="s">
        <v>85</v>
      </c>
      <c r="C107" t="str">
        <f>VLOOKUP(Amazon_1P__2[[#This Row],[ASIN]],[1]Table1__2!$C:$E,3,FALSE)</f>
        <v>Tape</v>
      </c>
      <c r="D107" t="s">
        <v>32</v>
      </c>
      <c r="E107" t="str">
        <f>VLOOKUP(Amazon_1P__2[[#This Row],[ASIN]],'[1]Table1 (2)'!$A:$B,2,FALSE)</f>
        <v>TK-TAPE-ACRYLIC-5M-12MM-2MM</v>
      </c>
      <c r="F107">
        <v>4</v>
      </c>
      <c r="G107" s="8">
        <v>654.24</v>
      </c>
      <c r="H107" s="2" t="s">
        <v>113</v>
      </c>
    </row>
    <row r="108" spans="1:8" x14ac:dyDescent="0.25">
      <c r="A108" s="1">
        <v>45894</v>
      </c>
      <c r="B108" t="s">
        <v>80</v>
      </c>
      <c r="C108" t="str">
        <f>VLOOKUP(Amazon_1P__2[[#This Row],[ASIN]],[1]Table1__2!$C:$E,3,FALSE)</f>
        <v>Tape</v>
      </c>
      <c r="D108" t="s">
        <v>32</v>
      </c>
      <c r="E108" t="str">
        <f>VLOOKUP(Amazon_1P__2[[#This Row],[ASIN]],'[1]Table1 (2)'!$A:$B,2,FALSE)</f>
        <v>TK-TAPE-ANTISKID-5M-50MM-BLACK-FBA</v>
      </c>
      <c r="F108">
        <v>2</v>
      </c>
      <c r="G108" s="8">
        <v>644.08000000000004</v>
      </c>
      <c r="H108" s="2" t="s">
        <v>113</v>
      </c>
    </row>
    <row r="109" spans="1:8" x14ac:dyDescent="0.25">
      <c r="A109" s="1">
        <v>45894</v>
      </c>
      <c r="B109" t="s">
        <v>19</v>
      </c>
      <c r="C109" t="str">
        <f>VLOOKUP(Amazon_1P__2[[#This Row],[ASIN]],[1]Table1__2!$C:$E,3,FALSE)</f>
        <v>Wardrobe Organizer</v>
      </c>
      <c r="D109" t="s">
        <v>27</v>
      </c>
      <c r="E109" t="str">
        <f>VLOOKUP(Amazon_1P__2[[#This Row],[ASIN]],[2]Sheet1!$B:$E,4,FALSE)</f>
        <v>BJWZ0027-VBTRMP3-FBA</v>
      </c>
      <c r="F109">
        <v>2</v>
      </c>
      <c r="G109" s="8">
        <v>584.75</v>
      </c>
      <c r="H109" s="2" t="s">
        <v>113</v>
      </c>
    </row>
    <row r="110" spans="1:8" x14ac:dyDescent="0.25">
      <c r="A110" s="1">
        <v>45894</v>
      </c>
      <c r="B110" t="s">
        <v>86</v>
      </c>
      <c r="C110" t="str">
        <f>VLOOKUP(Amazon_1P__2[[#This Row],[ASIN]],[1]Table1__2!$C:$E,3,FALSE)</f>
        <v>Resin</v>
      </c>
      <c r="D110" t="s">
        <v>32</v>
      </c>
      <c r="E110" t="str">
        <f>VLOOKUP(Amazon_1P__2[[#This Row],[ASIN]],'[1]Table1 (2)'!$A:$B,2,FALSE)</f>
        <v>TK-RESIN-21-150-ALPHABETCHARM-FBA</v>
      </c>
      <c r="F110">
        <v>1</v>
      </c>
      <c r="G110" s="8">
        <v>544.07000000000005</v>
      </c>
      <c r="H110" s="2" t="s">
        <v>113</v>
      </c>
    </row>
    <row r="111" spans="1:8" x14ac:dyDescent="0.25">
      <c r="A111" s="1">
        <v>45894</v>
      </c>
      <c r="B111" t="s">
        <v>54</v>
      </c>
      <c r="C111" t="str">
        <f>VLOOKUP(Amazon_1P__2[[#This Row],[ASIN]],[1]Table1__2!$C:$E,3,FALSE)</f>
        <v>Resin</v>
      </c>
      <c r="D111" t="s">
        <v>32</v>
      </c>
      <c r="E111" t="str">
        <f>VLOOKUP(Amazon_1P__2[[#This Row],[ASIN]],'[1]Table1 (2)'!$A:$B,2,FALSE)</f>
        <v>TK-RESINKIT-31-400</v>
      </c>
      <c r="F111">
        <v>1</v>
      </c>
      <c r="G111" s="8">
        <v>505.08</v>
      </c>
      <c r="H111" s="2" t="s">
        <v>113</v>
      </c>
    </row>
    <row r="112" spans="1:8" x14ac:dyDescent="0.25">
      <c r="A112" s="1">
        <v>45894</v>
      </c>
      <c r="B112" t="s">
        <v>77</v>
      </c>
      <c r="C112" t="str">
        <f>VLOOKUP(Amazon_1P__2[[#This Row],[ASIN]],[1]Table1__2!$C:$E,3,FALSE)</f>
        <v>Tape</v>
      </c>
      <c r="D112" t="s">
        <v>32</v>
      </c>
      <c r="E112" t="str">
        <f>VLOOKUP(Amazon_1P__2[[#This Row],[ASIN]],'[1]Table1 (2)'!$A:$B,2,FALSE)</f>
        <v>TK-TAPE-DUCT-25M-48MM</v>
      </c>
      <c r="F112">
        <v>2</v>
      </c>
      <c r="G112" s="8">
        <v>425.42</v>
      </c>
      <c r="H112" s="2" t="s">
        <v>113</v>
      </c>
    </row>
    <row r="113" spans="1:8" x14ac:dyDescent="0.25">
      <c r="A113" s="1">
        <v>45894</v>
      </c>
      <c r="B113" t="s">
        <v>60</v>
      </c>
      <c r="C113" t="str">
        <f>VLOOKUP(Amazon_1P__2[[#This Row],[ASIN]],[1]Table1__2!$C:$E,3,FALSE)</f>
        <v>Tape</v>
      </c>
      <c r="D113" t="s">
        <v>32</v>
      </c>
      <c r="E113" t="str">
        <f>VLOOKUP(Amazon_1P__2[[#This Row],[ASIN]],'[1]Table1 (2)'!$A:$B,2,FALSE)</f>
        <v>TK-TAPE-ANTISKID-5M-50MM-TRANS-FBA</v>
      </c>
      <c r="F113">
        <v>1</v>
      </c>
      <c r="G113" s="8">
        <v>355.93</v>
      </c>
      <c r="H113" s="2" t="s">
        <v>113</v>
      </c>
    </row>
    <row r="114" spans="1:8" x14ac:dyDescent="0.25">
      <c r="A114" s="1">
        <v>45894</v>
      </c>
      <c r="B114" t="s">
        <v>4</v>
      </c>
      <c r="C114" t="str">
        <f>VLOOKUP(Amazon_1P__2[[#This Row],[ASIN]],[1]Table1__2!$C:$E,3,FALSE)</f>
        <v>Body Care</v>
      </c>
      <c r="D114" t="s">
        <v>34</v>
      </c>
      <c r="E114" t="str">
        <f>VLOOKUP(Amazon_1P__2[[#This Row],[ASIN]],[2]Sheet1!$B:$E,4,FALSE)</f>
        <v>PRBCUR001-40-P1-FBA</v>
      </c>
      <c r="F114">
        <v>2</v>
      </c>
      <c r="G114" s="8">
        <v>337.28</v>
      </c>
      <c r="H114" s="2" t="s">
        <v>113</v>
      </c>
    </row>
    <row r="115" spans="1:8" x14ac:dyDescent="0.25">
      <c r="A115" s="1">
        <v>45894</v>
      </c>
      <c r="B115" t="s">
        <v>8</v>
      </c>
      <c r="C115" t="str">
        <f>VLOOKUP(Amazon_1P__2[[#This Row],[ASIN]],[1]Table1__2!$C:$E,3,FALSE)</f>
        <v>Face Care</v>
      </c>
      <c r="D115" t="s">
        <v>34</v>
      </c>
      <c r="E115" t="str">
        <f>VLOOKUP(Amazon_1P__2[[#This Row],[ASIN]],[2]Sheet1!$B:$E,4,FALSE)</f>
        <v>PRFCFC001-50-P1-FBA</v>
      </c>
      <c r="F115">
        <v>2</v>
      </c>
      <c r="G115" s="8">
        <v>337.28</v>
      </c>
      <c r="H115" s="2" t="s">
        <v>113</v>
      </c>
    </row>
    <row r="116" spans="1:8" x14ac:dyDescent="0.25">
      <c r="A116" s="1">
        <v>45894</v>
      </c>
      <c r="B116" t="s">
        <v>61</v>
      </c>
      <c r="C116" t="e">
        <f>VLOOKUP(Amazon_1P__2[[#This Row],[ASIN]],[1]Table1__2!$C:$E,3,FALSE)</f>
        <v>#N/A</v>
      </c>
      <c r="D116" t="s">
        <v>31</v>
      </c>
      <c r="E116" t="e">
        <f>VLOOKUP(Amazon_1P__2[[#This Row],[ASIN]],'[1]Table1 (2)'!$A:$B,2,FALSE)</f>
        <v>#N/A</v>
      </c>
      <c r="F116">
        <v>1</v>
      </c>
      <c r="G116" s="8">
        <v>327.97</v>
      </c>
      <c r="H116" s="2" t="s">
        <v>113</v>
      </c>
    </row>
    <row r="117" spans="1:8" x14ac:dyDescent="0.25">
      <c r="A117" s="1">
        <v>45894</v>
      </c>
      <c r="B117" t="s">
        <v>87</v>
      </c>
      <c r="C117" t="str">
        <f>VLOOKUP(Amazon_1P__2[[#This Row],[ASIN]],[1]Table1__2!$C:$E,3,FALSE)</f>
        <v>Drawer Organizer</v>
      </c>
      <c r="D117" t="s">
        <v>27</v>
      </c>
      <c r="E117" t="str">
        <f>VLOOKUP(Amazon_1P__2[[#This Row],[ASIN]],'[1]Table1 (2)'!$A:$B,2,FALSE)</f>
        <v>BJDZ0001-PETR007</v>
      </c>
      <c r="F117">
        <v>1</v>
      </c>
      <c r="G117" s="8">
        <v>327.42</v>
      </c>
      <c r="H117" s="2" t="s">
        <v>113</v>
      </c>
    </row>
    <row r="118" spans="1:8" x14ac:dyDescent="0.25">
      <c r="A118" s="1">
        <v>45894</v>
      </c>
      <c r="B118" t="s">
        <v>51</v>
      </c>
      <c r="C118" t="str">
        <f>VLOOKUP(Amazon_1P__2[[#This Row],[ASIN]],[1]Table1__2!$C:$E,3,FALSE)</f>
        <v>Wardrobe Organizer</v>
      </c>
      <c r="D118" t="s">
        <v>27</v>
      </c>
      <c r="E118" t="str">
        <f>VLOOKUP(Amazon_1P__2[[#This Row],[ASIN]],[2]Sheet1!$B:$E,4,FALSE)</f>
        <v>BJWZ0004-POLG13G-FBA</v>
      </c>
      <c r="F118">
        <v>1</v>
      </c>
      <c r="G118" s="8">
        <v>250.84</v>
      </c>
      <c r="H118" s="2" t="s">
        <v>113</v>
      </c>
    </row>
    <row r="119" spans="1:8" x14ac:dyDescent="0.25">
      <c r="A119" s="1">
        <v>45894</v>
      </c>
      <c r="B119" t="s">
        <v>52</v>
      </c>
      <c r="C119" t="str">
        <f>VLOOKUP(Amazon_1P__2[[#This Row],[ASIN]],[1]Table1__2!$C:$E,3,FALSE)</f>
        <v>Tape</v>
      </c>
      <c r="D119" t="s">
        <v>32</v>
      </c>
      <c r="E119" t="str">
        <f>VLOOKUP(Amazon_1P__2[[#This Row],[ASIN]],'[1]Table1 (2)'!$A:$B,2,FALSE)</f>
        <v>TK-TAPE-MASKING-20M-24MM-PACK1</v>
      </c>
      <c r="F119">
        <v>2</v>
      </c>
      <c r="G119" s="8">
        <v>250.84</v>
      </c>
      <c r="H119" s="2" t="s">
        <v>113</v>
      </c>
    </row>
    <row r="120" spans="1:8" x14ac:dyDescent="0.25">
      <c r="A120" s="1">
        <v>45894</v>
      </c>
      <c r="B120" t="s">
        <v>58</v>
      </c>
      <c r="C120" t="str">
        <f>VLOOKUP(Amazon_1P__2[[#This Row],[ASIN]],[1]Table1__2!$C:$E,3,FALSE)</f>
        <v>Tape</v>
      </c>
      <c r="D120" t="s">
        <v>32</v>
      </c>
      <c r="E120" t="str">
        <f>VLOOKUP(Amazon_1P__2[[#This Row],[ASIN]],'[1]Table1 (2)'!$A:$B,2,FALSE)</f>
        <v>TK-TAPE-BOPP-BROWN-65M-2INCH-P2</v>
      </c>
      <c r="F120">
        <v>1</v>
      </c>
      <c r="G120" s="8">
        <v>183.9</v>
      </c>
      <c r="H120" s="2" t="s">
        <v>113</v>
      </c>
    </row>
    <row r="121" spans="1:8" x14ac:dyDescent="0.25">
      <c r="A121" s="1">
        <v>45894</v>
      </c>
      <c r="B121" t="s">
        <v>88</v>
      </c>
      <c r="C121" t="str">
        <f>VLOOKUP(Amazon_1P__2[[#This Row],[ASIN]],[1]Table1__2!$C:$E,3,FALSE)</f>
        <v>Wardrobe Organizer</v>
      </c>
      <c r="D121" t="s">
        <v>27</v>
      </c>
      <c r="E121" t="str">
        <f>VLOOKUP(Amazon_1P__2[[#This Row],[ASIN]],'[1]Table1 (2)'!$A:$B,2,FALSE)</f>
        <v>BJWZ0021-PCLG66L</v>
      </c>
      <c r="F121">
        <v>0</v>
      </c>
      <c r="G121" s="8">
        <v>0</v>
      </c>
      <c r="H121" s="2" t="s">
        <v>113</v>
      </c>
    </row>
    <row r="122" spans="1:8" x14ac:dyDescent="0.25">
      <c r="A122" s="1">
        <v>45894</v>
      </c>
      <c r="B122" t="s">
        <v>9</v>
      </c>
      <c r="C122" t="str">
        <f>VLOOKUP(Amazon_1P__2[[#This Row],[ASIN]],[1]Table1__2!$C:$E,3,FALSE)</f>
        <v>Footwear Organizer</v>
      </c>
      <c r="D122" t="s">
        <v>27</v>
      </c>
      <c r="E122" t="str">
        <f>VLOOKUP(Amazon_1P__2[[#This Row],[ASIN]],[2]Sheet1!$B:$E,4,FALSE)</f>
        <v>BJFZ0010-PPBT12S-CLOTHRACK</v>
      </c>
      <c r="F122">
        <v>0</v>
      </c>
      <c r="G122" s="8">
        <v>0</v>
      </c>
      <c r="H122" s="2" t="s">
        <v>113</v>
      </c>
    </row>
    <row r="123" spans="1:8" x14ac:dyDescent="0.25">
      <c r="A123" s="1">
        <v>45894</v>
      </c>
      <c r="B123" t="s">
        <v>79</v>
      </c>
      <c r="C123" t="str">
        <f>VLOOKUP(Amazon_1P__2[[#This Row],[ASIN]],[1]Table1__2!$C:$E,3,FALSE)</f>
        <v>Tape</v>
      </c>
      <c r="D123" t="s">
        <v>32</v>
      </c>
      <c r="E123" t="str">
        <f>VLOOKUP(Amazon_1P__2[[#This Row],[ASIN]],'[1]Table1 (2)'!$A:$B,2,FALSE)</f>
        <v>TK-TAPE-VASTU-GREEN-4INCH-15MTR</v>
      </c>
      <c r="F123">
        <v>0</v>
      </c>
      <c r="G123" s="8">
        <v>0</v>
      </c>
      <c r="H123" s="2" t="s">
        <v>113</v>
      </c>
    </row>
    <row r="124" spans="1:8" x14ac:dyDescent="0.25">
      <c r="A124" s="1">
        <v>45894</v>
      </c>
      <c r="B124" t="s">
        <v>41</v>
      </c>
      <c r="C124" t="str">
        <f>VLOOKUP(Amazon_1P__2[[#This Row],[ASIN]],[1]Table1__2!$C:$E,3,FALSE)</f>
        <v>Wardrobe Organizer</v>
      </c>
      <c r="D124" t="s">
        <v>27</v>
      </c>
      <c r="E124" t="str">
        <f>VLOOKUP(Amazon_1P__2[[#This Row],[ASIN]],'[1]Table1 (2)'!$A:$B,2,FALSE)</f>
        <v>BJWZ0018-POLG66L</v>
      </c>
      <c r="F124">
        <v>0</v>
      </c>
      <c r="G124" s="8">
        <v>0</v>
      </c>
      <c r="H124" s="2" t="s">
        <v>113</v>
      </c>
    </row>
    <row r="125" spans="1:8" x14ac:dyDescent="0.25">
      <c r="A125" s="1">
        <v>45894</v>
      </c>
      <c r="B125" t="s">
        <v>74</v>
      </c>
      <c r="C125" t="str">
        <f>VLOOKUP(Amazon_1P__2[[#This Row],[ASIN]],[1]Table1__2!$C:$E,3,FALSE)</f>
        <v>Tape</v>
      </c>
      <c r="D125" t="s">
        <v>32</v>
      </c>
      <c r="E125" t="str">
        <f>VLOOKUP(Amazon_1P__2[[#This Row],[ASIN]],'[1]Table1 (2)'!$A:$B,2,FALSE)</f>
        <v>TK-TAPE-VASTU-WHITE-4INCH-15MTR</v>
      </c>
      <c r="F125">
        <v>0</v>
      </c>
      <c r="G125" s="8">
        <v>0</v>
      </c>
      <c r="H125" s="2" t="s">
        <v>113</v>
      </c>
    </row>
    <row r="126" spans="1:8" x14ac:dyDescent="0.25">
      <c r="A126" s="1">
        <v>45894</v>
      </c>
      <c r="B126" t="s">
        <v>63</v>
      </c>
      <c r="C126" t="str">
        <f>VLOOKUP(Amazon_1P__2[[#This Row],[ASIN]],[1]Table1__2!$C:$E,3,FALSE)</f>
        <v>Tape</v>
      </c>
      <c r="D126" t="s">
        <v>32</v>
      </c>
      <c r="E126" t="str">
        <f>VLOOKUP(Amazon_1P__2[[#This Row],[ASIN]],'[1]Table1 (2)'!$A:$B,2,FALSE)</f>
        <v>TK-TAPE-ALUMINIUM-3M-2INCH</v>
      </c>
      <c r="F126">
        <v>0</v>
      </c>
      <c r="G126" s="8">
        <v>0</v>
      </c>
      <c r="H126" s="2" t="s">
        <v>113</v>
      </c>
    </row>
    <row r="127" spans="1:8" x14ac:dyDescent="0.25">
      <c r="A127" s="1">
        <v>45894</v>
      </c>
      <c r="B127" t="s">
        <v>72</v>
      </c>
      <c r="C127" t="str">
        <f>VLOOKUP(Amazon_1P__2[[#This Row],[ASIN]],[1]Table1__2!$C:$E,3,FALSE)</f>
        <v>Footwear Organizer</v>
      </c>
      <c r="D127" t="s">
        <v>27</v>
      </c>
      <c r="E127" t="str">
        <f>VLOOKUP(Amazon_1P__2[[#This Row],[ASIN]],'[1]Table1 (2)'!$A:$B,2,FALSE)</f>
        <v>BJFZ0014</v>
      </c>
      <c r="F127">
        <v>0</v>
      </c>
      <c r="G127" s="8">
        <v>0</v>
      </c>
      <c r="H127" s="2" t="s">
        <v>113</v>
      </c>
    </row>
    <row r="128" spans="1:8" x14ac:dyDescent="0.25">
      <c r="A128" s="1">
        <v>45894</v>
      </c>
      <c r="B128" t="s">
        <v>76</v>
      </c>
      <c r="C128" t="str">
        <f>VLOOKUP(Amazon_1P__2[[#This Row],[ASIN]],[1]Table1__2!$C:$E,3,FALSE)</f>
        <v>Wardrobe Organizer</v>
      </c>
      <c r="D128" t="s">
        <v>27</v>
      </c>
      <c r="E128" t="str">
        <f>VLOOKUP(Amazon_1P__2[[#This Row],[ASIN]],'[1]Table1 (2)'!$A:$B,2,FALSE)</f>
        <v>BJWZ0008-PVTRSTL-P1</v>
      </c>
      <c r="F128">
        <v>0</v>
      </c>
      <c r="G128" s="8">
        <v>0</v>
      </c>
      <c r="H128" s="2" t="s">
        <v>113</v>
      </c>
    </row>
    <row r="129" spans="1:8" x14ac:dyDescent="0.25">
      <c r="A129" s="1">
        <v>45894</v>
      </c>
      <c r="B129" t="s">
        <v>57</v>
      </c>
      <c r="C129" t="str">
        <f>VLOOKUP(Amazon_1P__2[[#This Row],[ASIN]],[1]Table1__2!$C:$E,3,FALSE)</f>
        <v>Tape</v>
      </c>
      <c r="D129" t="s">
        <v>32</v>
      </c>
      <c r="E129" t="str">
        <f>VLOOKUP(Amazon_1P__2[[#This Row],[ASIN]],'[1]Table1 (2)'!$A:$B,2,FALSE)</f>
        <v>TK-TAPE-ALUMINIUM-5M-2INCH</v>
      </c>
      <c r="F129">
        <v>0</v>
      </c>
      <c r="G129" s="8">
        <v>0</v>
      </c>
      <c r="H129" s="2" t="s">
        <v>113</v>
      </c>
    </row>
    <row r="130" spans="1:8" x14ac:dyDescent="0.25">
      <c r="A130" s="1">
        <v>45894</v>
      </c>
      <c r="B130" t="s">
        <v>59</v>
      </c>
      <c r="C130" t="str">
        <f>VLOOKUP(Amazon_1P__2[[#This Row],[ASIN]],[1]Table1__2!$C:$E,3,FALSE)</f>
        <v>Tape</v>
      </c>
      <c r="D130" t="s">
        <v>32</v>
      </c>
      <c r="E130" t="str">
        <f>VLOOKUP(Amazon_1P__2[[#This Row],[ASIN]],'[1]Table1 (2)'!$A:$B,2,FALSE)</f>
        <v>TK-TAPE-BOPP-TRANS-65M-2INCH-P2</v>
      </c>
      <c r="F130">
        <v>0</v>
      </c>
      <c r="G130" s="8">
        <v>0</v>
      </c>
      <c r="H130" s="2" t="s">
        <v>113</v>
      </c>
    </row>
    <row r="131" spans="1:8" x14ac:dyDescent="0.25">
      <c r="A131" s="1">
        <v>45894</v>
      </c>
      <c r="B131" t="s">
        <v>11</v>
      </c>
      <c r="C131" t="str">
        <f>VLOOKUP(Amazon_1P__2[[#This Row],[ASIN]],[1]Table1__2!$C:$E,3,FALSE)</f>
        <v>Wardrobe Organizer</v>
      </c>
      <c r="D131" t="s">
        <v>27</v>
      </c>
      <c r="E131" t="str">
        <f>VLOOKUP(Amazon_1P__2[[#This Row],[ASIN]],[2]Sheet1!$B:$E,4,FALSE)</f>
        <v>BJWZ0033-VBTRJP6-FBA</v>
      </c>
      <c r="F131">
        <v>0</v>
      </c>
      <c r="G131" s="8">
        <v>0</v>
      </c>
      <c r="H131" s="2" t="s">
        <v>113</v>
      </c>
    </row>
    <row r="132" spans="1:8" x14ac:dyDescent="0.25">
      <c r="A132" s="1">
        <v>45894</v>
      </c>
      <c r="B132" t="s">
        <v>65</v>
      </c>
      <c r="C132" t="str">
        <f>VLOOKUP(Amazon_1P__2[[#This Row],[ASIN]],[1]Table1__2!$C:$E,3,FALSE)</f>
        <v>Tape</v>
      </c>
      <c r="D132" t="s">
        <v>32</v>
      </c>
      <c r="E132" t="str">
        <f>VLOOKUP(Amazon_1P__2[[#This Row],[ASIN]],'[1]Table1 (2)'!$A:$B,2,FALSE)</f>
        <v>TK-TAPE-ELECTRICAL-6M-17MM-PACK6</v>
      </c>
      <c r="F132">
        <v>0</v>
      </c>
      <c r="G132" s="8">
        <v>0</v>
      </c>
      <c r="H132" s="2" t="s">
        <v>113</v>
      </c>
    </row>
    <row r="133" spans="1:8" x14ac:dyDescent="0.25">
      <c r="A133" s="1">
        <v>45894</v>
      </c>
      <c r="B133" t="s">
        <v>6</v>
      </c>
      <c r="C133" t="str">
        <f>VLOOKUP(Amazon_1P__2[[#This Row],[ASIN]],[1]Table1__2!$C:$E,3,FALSE)</f>
        <v>Wardrobe Organizer</v>
      </c>
      <c r="D133" t="s">
        <v>27</v>
      </c>
      <c r="E133" t="str">
        <f>VLOOKUP(Amazon_1P__2[[#This Row],[ASIN]],[2]Sheet1!$B:$E,4,FALSE)</f>
        <v>BJWZ0010-OXGYSTL-P4-FBA</v>
      </c>
      <c r="F133">
        <v>0</v>
      </c>
      <c r="G133" s="8">
        <v>0</v>
      </c>
      <c r="H133" s="2" t="s">
        <v>113</v>
      </c>
    </row>
    <row r="134" spans="1:8" x14ac:dyDescent="0.25">
      <c r="A134" s="1">
        <v>45894</v>
      </c>
      <c r="B134" t="s">
        <v>0</v>
      </c>
      <c r="C134" t="str">
        <f>VLOOKUP(Amazon_1P__2[[#This Row],[ASIN]],[1]Table1__2!$C:$E,3,FALSE)</f>
        <v>Body Care</v>
      </c>
      <c r="D134" t="s">
        <v>34</v>
      </c>
      <c r="E134" t="str">
        <f>VLOOKUP(Amazon_1P__2[[#This Row],[ASIN]],[2]Sheet1!$B:$E,4,FALSE)</f>
        <v>PRBCBW001-250-P1-FBA</v>
      </c>
      <c r="F134">
        <v>0</v>
      </c>
      <c r="G134" s="8">
        <v>0</v>
      </c>
      <c r="H134" s="2" t="s">
        <v>113</v>
      </c>
    </row>
    <row r="135" spans="1:8" x14ac:dyDescent="0.25">
      <c r="A135" s="1">
        <v>45894</v>
      </c>
      <c r="B135" t="s">
        <v>49</v>
      </c>
      <c r="C135" t="str">
        <f>VLOOKUP(Amazon_1P__2[[#This Row],[ASIN]],[1]Table1__2!$C:$E,3,FALSE)</f>
        <v>Travel Organizer</v>
      </c>
      <c r="D135" t="s">
        <v>27</v>
      </c>
      <c r="E135" t="str">
        <f>VLOOKUP(Amazon_1P__2[[#This Row],[ASIN]],'[1]Table1 (2)'!$A:$B,2,FALSE)</f>
        <v>BJTZ0001-POWH07P</v>
      </c>
      <c r="F135">
        <v>0</v>
      </c>
      <c r="G135" s="8">
        <v>0</v>
      </c>
      <c r="H135" s="2" t="s">
        <v>113</v>
      </c>
    </row>
    <row r="136" spans="1:8" x14ac:dyDescent="0.25">
      <c r="A136" s="1">
        <v>45894</v>
      </c>
      <c r="B136" t="s">
        <v>62</v>
      </c>
      <c r="C136" t="str">
        <f>VLOOKUP(Amazon_1P__2[[#This Row],[ASIN]],[1]Table1__2!$C:$E,3,FALSE)</f>
        <v>Tape</v>
      </c>
      <c r="D136" t="s">
        <v>32</v>
      </c>
      <c r="E136" t="str">
        <f>VLOOKUP(Amazon_1P__2[[#This Row],[ASIN]],'[1]Table1 (2)'!$A:$B,2,FALSE)</f>
        <v>TK-TAPE-ANTISKID-5M-50MM-YL-BLACK-FBA</v>
      </c>
      <c r="F136">
        <v>0</v>
      </c>
      <c r="G136" s="8">
        <v>0</v>
      </c>
      <c r="H136" s="2" t="s">
        <v>113</v>
      </c>
    </row>
    <row r="137" spans="1:8" x14ac:dyDescent="0.25">
      <c r="A137" s="1">
        <v>45894</v>
      </c>
      <c r="B137" t="s">
        <v>89</v>
      </c>
      <c r="C137" t="str">
        <f>VLOOKUP(Amazon_1P__2[[#This Row],[ASIN]],[1]Table1__2!$C:$E,3,FALSE)</f>
        <v>Tape</v>
      </c>
      <c r="D137" t="s">
        <v>32</v>
      </c>
      <c r="E137" t="str">
        <f>VLOOKUP(Amazon_1P__2[[#This Row],[ASIN]],'[1]Table1 (2)'!$A:$B,2,FALSE)</f>
        <v>TK-TAPE-VASTU-BLUE-4INCH-15MTR</v>
      </c>
      <c r="F137">
        <v>0</v>
      </c>
      <c r="G137" s="8">
        <v>0</v>
      </c>
      <c r="H137" s="2" t="s">
        <v>113</v>
      </c>
    </row>
    <row r="138" spans="1:8" x14ac:dyDescent="0.25">
      <c r="A138" s="1">
        <v>45894</v>
      </c>
      <c r="B138" t="s">
        <v>55</v>
      </c>
      <c r="C138" t="str">
        <f>VLOOKUP(Amazon_1P__2[[#This Row],[ASIN]],[1]Table1__2!$C:$E,3,FALSE)</f>
        <v>Wardrobe Organizer</v>
      </c>
      <c r="D138" t="s">
        <v>27</v>
      </c>
      <c r="E138" t="str">
        <f>VLOOKUP(Amazon_1P__2[[#This Row],[ASIN]],'[1]Table1 (2)'!$A:$B,2,FALSE)</f>
        <v>BJWZ0010-OXGYSTL-P1</v>
      </c>
      <c r="F138">
        <v>0</v>
      </c>
      <c r="G138" s="8">
        <v>0</v>
      </c>
      <c r="H138" s="2" t="s">
        <v>113</v>
      </c>
    </row>
    <row r="139" spans="1:8" x14ac:dyDescent="0.25">
      <c r="A139" s="1">
        <v>45894</v>
      </c>
      <c r="B139" t="s">
        <v>50</v>
      </c>
      <c r="C139" t="str">
        <f>VLOOKUP(Amazon_1P__2[[#This Row],[ASIN]],[1]Table1__2!$C:$E,3,FALSE)</f>
        <v>Drawer Organizer</v>
      </c>
      <c r="D139" t="s">
        <v>27</v>
      </c>
      <c r="E139" t="str">
        <f>VLOOKUP(Amazon_1P__2[[#This Row],[ASIN]],'[1]Table1 (2)'!$A:$B,2,FALSE)</f>
        <v>BJDZ0003-PETR025</v>
      </c>
      <c r="F139">
        <v>0</v>
      </c>
      <c r="G139" s="8">
        <v>0</v>
      </c>
      <c r="H139" s="2" t="s">
        <v>113</v>
      </c>
    </row>
    <row r="140" spans="1:8" x14ac:dyDescent="0.25">
      <c r="A140" s="1">
        <v>45894</v>
      </c>
      <c r="B140" t="s">
        <v>17</v>
      </c>
      <c r="C140" t="str">
        <f>VLOOKUP(Amazon_1P__2[[#This Row],[ASIN]],[1]Table1__2!$C:$E,3,FALSE)</f>
        <v>Wardrobe Organizer</v>
      </c>
      <c r="D140" t="s">
        <v>27</v>
      </c>
      <c r="E140" t="str">
        <f>VLOOKUP(Amazon_1P__2[[#This Row],[ASIN]],[2]Sheet1!$B:$E,4,FALSE)</f>
        <v>BJWZ0012-PCLGSTL-P2</v>
      </c>
      <c r="F140">
        <v>0</v>
      </c>
      <c r="G140" s="8">
        <v>0</v>
      </c>
      <c r="H140" s="2" t="s">
        <v>113</v>
      </c>
    </row>
    <row r="141" spans="1:8" x14ac:dyDescent="0.25">
      <c r="A141" s="1">
        <v>45894</v>
      </c>
      <c r="B141" t="s">
        <v>78</v>
      </c>
      <c r="C141" t="str">
        <f>VLOOKUP(Amazon_1P__2[[#This Row],[ASIN]],[1]Table1__2!$C:$E,3,FALSE)</f>
        <v>Resin</v>
      </c>
      <c r="D141" t="s">
        <v>32</v>
      </c>
      <c r="E141" t="str">
        <f>VLOOKUP(Amazon_1P__2[[#This Row],[ASIN]],'[1]Table1 (2)'!$A:$B,2,FALSE)</f>
        <v>TK-RESINKIT-21-150</v>
      </c>
      <c r="F141">
        <v>0</v>
      </c>
      <c r="G141" s="8">
        <v>0</v>
      </c>
      <c r="H141" s="2" t="s">
        <v>113</v>
      </c>
    </row>
    <row r="142" spans="1:8" x14ac:dyDescent="0.25">
      <c r="A142" s="1">
        <v>45894</v>
      </c>
      <c r="B142" t="s">
        <v>67</v>
      </c>
      <c r="C142" t="str">
        <f>VLOOKUP(Amazon_1P__2[[#This Row],[ASIN]],[1]Table1__2!$C:$E,3,FALSE)</f>
        <v>Drawer Organizer</v>
      </c>
      <c r="D142" t="s">
        <v>27</v>
      </c>
      <c r="E142" t="str">
        <f>VLOOKUP(Amazon_1P__2[[#This Row],[ASIN]],'[1]Table1 (2)'!$A:$B,2,FALSE)</f>
        <v>BJDZ0004-PETRE8G</v>
      </c>
      <c r="F142">
        <v>0</v>
      </c>
      <c r="G142" s="8">
        <v>0</v>
      </c>
      <c r="H142" s="2" t="s">
        <v>113</v>
      </c>
    </row>
    <row r="143" spans="1:8" x14ac:dyDescent="0.25">
      <c r="A143" s="1">
        <v>45894</v>
      </c>
      <c r="B143" t="s">
        <v>45</v>
      </c>
      <c r="C143" t="str">
        <f>VLOOKUP(Amazon_1P__2[[#This Row],[ASIN]],[1]Table1__2!$C:$E,3,FALSE)</f>
        <v>Footwear Organizer</v>
      </c>
      <c r="D143" t="s">
        <v>27</v>
      </c>
      <c r="E143" t="str">
        <f>VLOOKUP(Amazon_1P__2[[#This Row],[ASIN]],'[1]Table1 (2)'!$A:$B,2,FALSE)</f>
        <v>BJFZ0016-PPBT5S-CLOTHRACK</v>
      </c>
      <c r="F143">
        <v>-1</v>
      </c>
      <c r="G143" s="8">
        <v>-1397.46</v>
      </c>
      <c r="H143" s="2" t="s">
        <v>113</v>
      </c>
    </row>
    <row r="144" spans="1:8" x14ac:dyDescent="0.25">
      <c r="A144" s="1">
        <v>45895</v>
      </c>
      <c r="B144" t="s">
        <v>26</v>
      </c>
      <c r="C144" t="str">
        <f>VLOOKUP(Amazon_1P__2[[#This Row],[ASIN]],[1]Table1__2!$C:$E,3,FALSE)</f>
        <v>Footwear Organizer</v>
      </c>
      <c r="D144" t="s">
        <v>27</v>
      </c>
      <c r="E144" t="str">
        <f>VLOOKUP(Amazon_1P__2[[#This Row],[ASIN]],'[1]Table1 (2)'!$A:$B,2,FALSE)</f>
        <v>BJFZ0016</v>
      </c>
      <c r="F144">
        <v>71</v>
      </c>
      <c r="G144" s="8">
        <v>99219.66</v>
      </c>
      <c r="H144" s="2" t="s">
        <v>113</v>
      </c>
    </row>
    <row r="145" spans="1:8" x14ac:dyDescent="0.25">
      <c r="A145" s="1">
        <v>45895</v>
      </c>
      <c r="B145" t="s">
        <v>33</v>
      </c>
      <c r="C145" t="str">
        <f>VLOOKUP(Amazon_1P__2[[#This Row],[ASIN]],[1]Table1__2!$C:$E,3,FALSE)</f>
        <v>Footwear Organizer</v>
      </c>
      <c r="D145" t="s">
        <v>27</v>
      </c>
      <c r="E145" t="str">
        <f>VLOOKUP(Amazon_1P__2[[#This Row],[ASIN]],'[1]Table1 (2)'!$A:$B,2,FALSE)</f>
        <v>BJFZ0010</v>
      </c>
      <c r="F145">
        <v>6</v>
      </c>
      <c r="G145" s="8">
        <v>12574.56</v>
      </c>
      <c r="H145" s="2" t="s">
        <v>113</v>
      </c>
    </row>
    <row r="146" spans="1:8" x14ac:dyDescent="0.25">
      <c r="A146" s="1">
        <v>45895</v>
      </c>
      <c r="B146" t="s">
        <v>12</v>
      </c>
      <c r="C146" t="str">
        <f>VLOOKUP(Amazon_1P__2[[#This Row],[ASIN]],[1]Table1__2!$C:$E,3,FALSE)</f>
        <v>Resin</v>
      </c>
      <c r="D146" t="s">
        <v>32</v>
      </c>
      <c r="E146" t="str">
        <f>VLOOKUP(Amazon_1P__2[[#This Row],[ASIN]],[2]Sheet1!$B:$E,4,FALSE)</f>
        <v>TK-RESIN-21-150-ULTIMATE</v>
      </c>
      <c r="F146">
        <v>13</v>
      </c>
      <c r="G146" s="8">
        <v>9772.0300000000007</v>
      </c>
      <c r="H146" s="2" t="s">
        <v>113</v>
      </c>
    </row>
    <row r="147" spans="1:8" x14ac:dyDescent="0.25">
      <c r="A147" s="1">
        <v>45895</v>
      </c>
      <c r="B147" t="s">
        <v>28</v>
      </c>
      <c r="C147" t="str">
        <f>VLOOKUP(Amazon_1P__2[[#This Row],[ASIN]],[1]Table1__2!$C:$E,3,FALSE)</f>
        <v>Footwear Organizer</v>
      </c>
      <c r="D147" t="s">
        <v>27</v>
      </c>
      <c r="E147" t="str">
        <f>VLOOKUP(Amazon_1P__2[[#This Row],[ASIN]],'[1]Table1 (2)'!$A:$B,2,FALSE)</f>
        <v>BJFZ0013</v>
      </c>
      <c r="F147">
        <v>6</v>
      </c>
      <c r="G147" s="8">
        <v>9533.8799999999992</v>
      </c>
      <c r="H147" s="2" t="s">
        <v>113</v>
      </c>
    </row>
    <row r="148" spans="1:8" x14ac:dyDescent="0.25">
      <c r="A148" s="1">
        <v>45895</v>
      </c>
      <c r="B148" t="s">
        <v>73</v>
      </c>
      <c r="C148" t="str">
        <f>VLOOKUP(Amazon_1P__2[[#This Row],[ASIN]],[1]Table1__2!$C:$E,3,FALSE)</f>
        <v>Footwear Organizer</v>
      </c>
      <c r="D148" t="s">
        <v>27</v>
      </c>
      <c r="E148" t="str">
        <f>VLOOKUP(Amazon_1P__2[[#This Row],[ASIN]],'[1]Table1 (2)'!$A:$B,2,FALSE)</f>
        <v>BJFZ0009</v>
      </c>
      <c r="F148">
        <v>4</v>
      </c>
      <c r="G148" s="8">
        <v>8383.0400000000009</v>
      </c>
      <c r="H148" s="2" t="s">
        <v>113</v>
      </c>
    </row>
    <row r="149" spans="1:8" x14ac:dyDescent="0.25">
      <c r="A149" s="1">
        <v>45895</v>
      </c>
      <c r="B149" t="s">
        <v>14</v>
      </c>
      <c r="C149" t="str">
        <f>VLOOKUP(Amazon_1P__2[[#This Row],[ASIN]],[1]Table1__2!$C:$E,3,FALSE)</f>
        <v>Wardrobe Organizer</v>
      </c>
      <c r="D149" t="s">
        <v>27</v>
      </c>
      <c r="E149" t="str">
        <f>VLOOKUP(Amazon_1P__2[[#This Row],[ASIN]],[2]Sheet1!$B:$E,4,FALSE)</f>
        <v>BJWZ0017-POLG24L-FBA</v>
      </c>
      <c r="F149">
        <v>8</v>
      </c>
      <c r="G149" s="8">
        <v>5125.4399999999996</v>
      </c>
      <c r="H149" s="2" t="s">
        <v>113</v>
      </c>
    </row>
    <row r="150" spans="1:8" x14ac:dyDescent="0.25">
      <c r="A150" s="1">
        <v>45895</v>
      </c>
      <c r="B150" t="s">
        <v>69</v>
      </c>
      <c r="C150" t="str">
        <f>VLOOKUP(Amazon_1P__2[[#This Row],[ASIN]],[1]Table1__2!$C:$E,3,FALSE)</f>
        <v>Wardrobe Organizer</v>
      </c>
      <c r="D150" t="s">
        <v>27</v>
      </c>
      <c r="E150" t="str">
        <f>VLOOKUP(Amazon_1P__2[[#This Row],[ASIN]],'[1]Table1 (2)'!$A:$B,2,FALSE)</f>
        <v>BJWZ0008-PVTRSTL-P6</v>
      </c>
      <c r="F150">
        <v>4</v>
      </c>
      <c r="G150" s="8">
        <v>5081.3599999999997</v>
      </c>
      <c r="H150" s="2" t="s">
        <v>113</v>
      </c>
    </row>
    <row r="151" spans="1:8" x14ac:dyDescent="0.25">
      <c r="A151" s="1">
        <v>45895</v>
      </c>
      <c r="B151" t="s">
        <v>29</v>
      </c>
      <c r="C151" t="str">
        <f>VLOOKUP(Amazon_1P__2[[#This Row],[ASIN]],[1]Table1__2!$C:$E,3,FALSE)</f>
        <v>Footwear Organizer</v>
      </c>
      <c r="D151" t="s">
        <v>27</v>
      </c>
      <c r="E151" t="str">
        <f>VLOOKUP(Amazon_1P__2[[#This Row],[ASIN]],'[1]Table1 (2)'!$A:$B,2,FALSE)</f>
        <v>BJFZ0015</v>
      </c>
      <c r="F151">
        <v>3</v>
      </c>
      <c r="G151" s="8">
        <v>4187.28</v>
      </c>
      <c r="H151" s="2" t="s">
        <v>113</v>
      </c>
    </row>
    <row r="152" spans="1:8" x14ac:dyDescent="0.25">
      <c r="A152" s="1">
        <v>45895</v>
      </c>
      <c r="B152" t="s">
        <v>83</v>
      </c>
      <c r="C152" t="str">
        <f>VLOOKUP(Amazon_1P__2[[#This Row],[ASIN]],[1]Table1__2!$C:$E,3,FALSE)</f>
        <v>Wardrobe Organizer</v>
      </c>
      <c r="D152" t="s">
        <v>27</v>
      </c>
      <c r="E152" t="str">
        <f>VLOOKUP(Amazon_1P__2[[#This Row],[ASIN]],'[1]Table1 (2)'!$A:$B,2,FALSE)</f>
        <v>BJWZ0012-PCLGSTL-P6</v>
      </c>
      <c r="F152">
        <v>2</v>
      </c>
      <c r="G152" s="8">
        <v>3386.44</v>
      </c>
      <c r="H152" s="2" t="s">
        <v>113</v>
      </c>
    </row>
    <row r="153" spans="1:8" x14ac:dyDescent="0.25">
      <c r="A153" s="1">
        <v>45895</v>
      </c>
      <c r="B153" t="s">
        <v>10</v>
      </c>
      <c r="C153" t="str">
        <f>VLOOKUP(Amazon_1P__2[[#This Row],[ASIN]],[1]Table1__2!$C:$E,3,FALSE)</f>
        <v>Drawer Organizer</v>
      </c>
      <c r="D153" t="s">
        <v>27</v>
      </c>
      <c r="E153" t="str">
        <f>VLOOKUP(Amazon_1P__2[[#This Row],[ASIN]],[2]Sheet1!$B:$E,4,FALSE)</f>
        <v>BJDZ0002-PETR016-FBA</v>
      </c>
      <c r="F153">
        <v>5</v>
      </c>
      <c r="G153" s="8">
        <v>3385.6</v>
      </c>
      <c r="H153" s="2" t="s">
        <v>113</v>
      </c>
    </row>
    <row r="154" spans="1:8" x14ac:dyDescent="0.25">
      <c r="A154" s="1">
        <v>45895</v>
      </c>
      <c r="B154" t="s">
        <v>39</v>
      </c>
      <c r="C154" t="str">
        <f>VLOOKUP(Amazon_1P__2[[#This Row],[ASIN]],[1]Table1__2!$C:$E,3,FALSE)</f>
        <v>Wardrobe Organizer</v>
      </c>
      <c r="D154" t="s">
        <v>27</v>
      </c>
      <c r="E154" t="str">
        <f>VLOOKUP(Amazon_1P__2[[#This Row],[ASIN]],[2]Sheet1!$B:$E,4,FALSE)</f>
        <v>BJWZ0003-POLG17G-FBA</v>
      </c>
      <c r="F154">
        <v>10</v>
      </c>
      <c r="G154" s="8">
        <v>3355.91</v>
      </c>
      <c r="H154" s="2" t="s">
        <v>113</v>
      </c>
    </row>
    <row r="155" spans="1:8" x14ac:dyDescent="0.25">
      <c r="A155" s="1">
        <v>45895</v>
      </c>
      <c r="B155" t="s">
        <v>37</v>
      </c>
      <c r="C155" t="str">
        <f>VLOOKUP(Amazon_1P__2[[#This Row],[ASIN]],[1]Table1__2!$C:$E,3,FALSE)</f>
        <v>Footwear Organizer</v>
      </c>
      <c r="D155" t="s">
        <v>27</v>
      </c>
      <c r="E155" t="str">
        <f>VLOOKUP(Amazon_1P__2[[#This Row],[ASIN]],'[1]Table1 (2)'!$A:$B,2,FALSE)</f>
        <v>BJFZ0011</v>
      </c>
      <c r="F155">
        <v>2</v>
      </c>
      <c r="G155" s="8">
        <v>3177.96</v>
      </c>
      <c r="H155" s="2" t="s">
        <v>113</v>
      </c>
    </row>
    <row r="156" spans="1:8" x14ac:dyDescent="0.25">
      <c r="A156" s="1">
        <v>45895</v>
      </c>
      <c r="B156" t="s">
        <v>36</v>
      </c>
      <c r="C156" t="str">
        <f>VLOOKUP(Amazon_1P__2[[#This Row],[ASIN]],[1]Table1__2!$C:$E,3,FALSE)</f>
        <v>Wardrobe Organizer</v>
      </c>
      <c r="D156" t="s">
        <v>27</v>
      </c>
      <c r="E156" t="str">
        <f>VLOOKUP(Amazon_1P__2[[#This Row],[ASIN]],'[1]Table1 (2)'!$A:$B,2,FALSE)</f>
        <v>BJWZ0015-PVTR66L</v>
      </c>
      <c r="F156">
        <v>3</v>
      </c>
      <c r="G156" s="8">
        <v>2534.7600000000002</v>
      </c>
      <c r="H156" s="2" t="s">
        <v>113</v>
      </c>
    </row>
    <row r="157" spans="1:8" x14ac:dyDescent="0.25">
      <c r="A157" s="1">
        <v>45895</v>
      </c>
      <c r="B157" t="s">
        <v>90</v>
      </c>
      <c r="C157" t="str">
        <f>VLOOKUP(Amazon_1P__2[[#This Row],[ASIN]],[1]Table1__2!$C:$E,3,FALSE)</f>
        <v>Footwear Organizer</v>
      </c>
      <c r="D157" t="s">
        <v>27</v>
      </c>
      <c r="E157" t="str">
        <f>VLOOKUP(Amazon_1P__2[[#This Row],[ASIN]],'[1]Table1 (2)'!$A:$B,2,FALSE)</f>
        <v>BJFZ0009-PPWT12S-CLOTHRACK</v>
      </c>
      <c r="F157">
        <v>1</v>
      </c>
      <c r="G157" s="8">
        <v>2096.61</v>
      </c>
      <c r="H157" s="2" t="s">
        <v>113</v>
      </c>
    </row>
    <row r="158" spans="1:8" x14ac:dyDescent="0.25">
      <c r="A158" s="1">
        <v>45895</v>
      </c>
      <c r="B158" t="s">
        <v>40</v>
      </c>
      <c r="C158" t="str">
        <f>VLOOKUP(Amazon_1P__2[[#This Row],[ASIN]],[1]Table1__2!$C:$E,3,FALSE)</f>
        <v>Footwear Organizer</v>
      </c>
      <c r="D158" t="s">
        <v>27</v>
      </c>
      <c r="E158" t="str">
        <f>VLOOKUP(Amazon_1P__2[[#This Row],[ASIN]],'[1]Table1 (2)'!$A:$B,2,FALSE)</f>
        <v>BJFZ0008</v>
      </c>
      <c r="F158">
        <v>1</v>
      </c>
      <c r="G158" s="8">
        <v>2095.7600000000002</v>
      </c>
      <c r="H158" s="2" t="s">
        <v>113</v>
      </c>
    </row>
    <row r="159" spans="1:8" x14ac:dyDescent="0.25">
      <c r="A159" s="1">
        <v>45895</v>
      </c>
      <c r="B159" t="s">
        <v>42</v>
      </c>
      <c r="C159" t="str">
        <f>VLOOKUP(Amazon_1P__2[[#This Row],[ASIN]],[1]Table1__2!$C:$E,3,FALSE)</f>
        <v>Wardrobe Organizer</v>
      </c>
      <c r="D159" t="s">
        <v>27</v>
      </c>
      <c r="E159" t="str">
        <f>VLOOKUP(Amazon_1P__2[[#This Row],[ASIN]],[2]Sheet1!$B:$E,4,FALSE)</f>
        <v>BJWZ0026-VBTRMLJ-FBA</v>
      </c>
      <c r="F159">
        <v>4</v>
      </c>
      <c r="G159" s="8">
        <v>1840.67</v>
      </c>
      <c r="H159" s="2" t="s">
        <v>113</v>
      </c>
    </row>
    <row r="160" spans="1:8" x14ac:dyDescent="0.25">
      <c r="A160" s="1">
        <v>45895</v>
      </c>
      <c r="B160" t="s">
        <v>43</v>
      </c>
      <c r="C160" t="str">
        <f>VLOOKUP(Amazon_1P__2[[#This Row],[ASIN]],[1]Table1__2!$C:$E,3,FALSE)</f>
        <v>Footwear Organizer</v>
      </c>
      <c r="D160" t="s">
        <v>27</v>
      </c>
      <c r="E160" t="str">
        <f>VLOOKUP(Amazon_1P__2[[#This Row],[ASIN]],'[1]Table1 (2)'!$A:$B,2,FALSE)</f>
        <v>BJFZ0012</v>
      </c>
      <c r="F160">
        <v>1</v>
      </c>
      <c r="G160" s="8">
        <v>1588.98</v>
      </c>
      <c r="H160" s="2" t="s">
        <v>113</v>
      </c>
    </row>
    <row r="161" spans="1:8" x14ac:dyDescent="0.25">
      <c r="A161" s="1">
        <v>45895</v>
      </c>
      <c r="B161" t="s">
        <v>38</v>
      </c>
      <c r="C161" t="str">
        <f>VLOOKUP(Amazon_1P__2[[#This Row],[ASIN]],[1]Table1__2!$C:$E,3,FALSE)</f>
        <v>Tape</v>
      </c>
      <c r="D161" t="s">
        <v>32</v>
      </c>
      <c r="E161" t="str">
        <f>VLOOKUP(Amazon_1P__2[[#This Row],[ASIN]],'[1]Table1 (2)'!$A:$B,2,FALSE)</f>
        <v>TK-TAPE-TISSUE-50M-1INCH</v>
      </c>
      <c r="F161">
        <v>11</v>
      </c>
      <c r="G161" s="8">
        <v>1538.13</v>
      </c>
      <c r="H161" s="2" t="s">
        <v>113</v>
      </c>
    </row>
    <row r="162" spans="1:8" x14ac:dyDescent="0.25">
      <c r="A162" s="1">
        <v>45895</v>
      </c>
      <c r="B162" t="s">
        <v>88</v>
      </c>
      <c r="C162" t="str">
        <f>VLOOKUP(Amazon_1P__2[[#This Row],[ASIN]],[1]Table1__2!$C:$E,3,FALSE)</f>
        <v>Wardrobe Organizer</v>
      </c>
      <c r="D162" t="s">
        <v>27</v>
      </c>
      <c r="E162" t="str">
        <f>VLOOKUP(Amazon_1P__2[[#This Row],[ASIN]],'[1]Table1 (2)'!$A:$B,2,FALSE)</f>
        <v>BJWZ0021-PCLG66L</v>
      </c>
      <c r="F162">
        <v>1</v>
      </c>
      <c r="G162" s="8">
        <v>1439.83</v>
      </c>
      <c r="H162" s="2" t="s">
        <v>113</v>
      </c>
    </row>
    <row r="163" spans="1:8" x14ac:dyDescent="0.25">
      <c r="A163" s="1">
        <v>45895</v>
      </c>
      <c r="B163" t="s">
        <v>45</v>
      </c>
      <c r="C163" t="str">
        <f>VLOOKUP(Amazon_1P__2[[#This Row],[ASIN]],[1]Table1__2!$C:$E,3,FALSE)</f>
        <v>Footwear Organizer</v>
      </c>
      <c r="D163" t="s">
        <v>27</v>
      </c>
      <c r="E163" t="str">
        <f>VLOOKUP(Amazon_1P__2[[#This Row],[ASIN]],'[1]Table1 (2)'!$A:$B,2,FALSE)</f>
        <v>BJFZ0016-PPBT5S-CLOTHRACK</v>
      </c>
      <c r="F163">
        <v>1</v>
      </c>
      <c r="G163" s="8">
        <v>1397.46</v>
      </c>
      <c r="H163" s="2" t="s">
        <v>113</v>
      </c>
    </row>
    <row r="164" spans="1:8" x14ac:dyDescent="0.25">
      <c r="A164" s="1">
        <v>45895</v>
      </c>
      <c r="B164" t="s">
        <v>80</v>
      </c>
      <c r="C164" t="str">
        <f>VLOOKUP(Amazon_1P__2[[#This Row],[ASIN]],[1]Table1__2!$C:$E,3,FALSE)</f>
        <v>Tape</v>
      </c>
      <c r="D164" t="s">
        <v>32</v>
      </c>
      <c r="E164" t="str">
        <f>VLOOKUP(Amazon_1P__2[[#This Row],[ASIN]],'[1]Table1 (2)'!$A:$B,2,FALSE)</f>
        <v>TK-TAPE-ANTISKID-5M-50MM-BLACK-FBA</v>
      </c>
      <c r="F164">
        <v>4</v>
      </c>
      <c r="G164" s="8">
        <v>1279.6600000000001</v>
      </c>
      <c r="H164" s="2" t="s">
        <v>113</v>
      </c>
    </row>
    <row r="165" spans="1:8" x14ac:dyDescent="0.25">
      <c r="A165" s="1">
        <v>45895</v>
      </c>
      <c r="B165" t="s">
        <v>46</v>
      </c>
      <c r="C165" t="str">
        <f>VLOOKUP(Amazon_1P__2[[#This Row],[ASIN]],[1]Table1__2!$C:$E,3,FALSE)</f>
        <v>Resin</v>
      </c>
      <c r="D165" t="s">
        <v>32</v>
      </c>
      <c r="E165" t="str">
        <f>VLOOKUP(Amazon_1P__2[[#This Row],[ASIN]],'[1]Table1 (2)'!$A:$B,2,FALSE)</f>
        <v>TK-RESINKIT-21-1500</v>
      </c>
      <c r="F165">
        <v>1</v>
      </c>
      <c r="G165" s="8">
        <v>1268.6400000000001</v>
      </c>
      <c r="H165" s="2" t="s">
        <v>113</v>
      </c>
    </row>
    <row r="166" spans="1:8" x14ac:dyDescent="0.25">
      <c r="A166" s="1">
        <v>45895</v>
      </c>
      <c r="B166" t="s">
        <v>35</v>
      </c>
      <c r="C166" t="str">
        <f>VLOOKUP(Amazon_1P__2[[#This Row],[ASIN]],[1]Table1__2!$C:$E,3,FALSE)</f>
        <v>Face Care</v>
      </c>
      <c r="D166" t="s">
        <v>34</v>
      </c>
      <c r="E166" t="str">
        <f>VLOOKUP(Amazon_1P__2[[#This Row],[ASIN]],[2]Sheet1!$B:$E,4,FALSE)</f>
        <v>PRFCLB001-04-P1</v>
      </c>
      <c r="F166">
        <v>8</v>
      </c>
      <c r="G166" s="8">
        <v>1213.53</v>
      </c>
      <c r="H166" s="2" t="s">
        <v>113</v>
      </c>
    </row>
    <row r="167" spans="1:8" x14ac:dyDescent="0.25">
      <c r="A167" s="1">
        <v>45895</v>
      </c>
      <c r="B167" t="s">
        <v>18</v>
      </c>
      <c r="C167" t="str">
        <f>VLOOKUP(Amazon_1P__2[[#This Row],[ASIN]],[1]Table1__2!$C:$E,3,FALSE)</f>
        <v>Wardrobe Organizer</v>
      </c>
      <c r="D167" t="s">
        <v>27</v>
      </c>
      <c r="E167" t="str">
        <f>VLOOKUP(Amazon_1P__2[[#This Row],[ASIN]],[2]Sheet1!$B:$E,4,FALSE)</f>
        <v>BJWZ0010-OXGYSTL-P6-FBA</v>
      </c>
      <c r="F167">
        <v>1</v>
      </c>
      <c r="G167" s="8">
        <v>1184.75</v>
      </c>
      <c r="H167" s="2" t="s">
        <v>113</v>
      </c>
    </row>
    <row r="168" spans="1:8" x14ac:dyDescent="0.25">
      <c r="A168" s="1">
        <v>45895</v>
      </c>
      <c r="B168" t="s">
        <v>50</v>
      </c>
      <c r="C168" t="str">
        <f>VLOOKUP(Amazon_1P__2[[#This Row],[ASIN]],[1]Table1__2!$C:$E,3,FALSE)</f>
        <v>Drawer Organizer</v>
      </c>
      <c r="D168" t="s">
        <v>27</v>
      </c>
      <c r="E168" t="str">
        <f>VLOOKUP(Amazon_1P__2[[#This Row],[ASIN]],'[1]Table1 (2)'!$A:$B,2,FALSE)</f>
        <v>BJDZ0003-PETR025</v>
      </c>
      <c r="F168">
        <v>1</v>
      </c>
      <c r="G168" s="8">
        <v>931.36</v>
      </c>
      <c r="H168" s="2" t="s">
        <v>113</v>
      </c>
    </row>
    <row r="169" spans="1:8" x14ac:dyDescent="0.25">
      <c r="A169" s="1">
        <v>45895</v>
      </c>
      <c r="B169" t="s">
        <v>41</v>
      </c>
      <c r="C169" t="str">
        <f>VLOOKUP(Amazon_1P__2[[#This Row],[ASIN]],[1]Table1__2!$C:$E,3,FALSE)</f>
        <v>Wardrobe Organizer</v>
      </c>
      <c r="D169" t="s">
        <v>27</v>
      </c>
      <c r="E169" t="str">
        <f>VLOOKUP(Amazon_1P__2[[#This Row],[ASIN]],'[1]Table1 (2)'!$A:$B,2,FALSE)</f>
        <v>BJWZ0018-POLG66L</v>
      </c>
      <c r="F169">
        <v>1</v>
      </c>
      <c r="G169" s="8">
        <v>931.36</v>
      </c>
      <c r="H169" s="2" t="s">
        <v>113</v>
      </c>
    </row>
    <row r="170" spans="1:8" x14ac:dyDescent="0.25">
      <c r="A170" s="1">
        <v>45895</v>
      </c>
      <c r="B170" t="s">
        <v>7</v>
      </c>
      <c r="C170" t="str">
        <f>VLOOKUP(Amazon_1P__2[[#This Row],[ASIN]],[1]Table1__2!$C:$E,3,FALSE)</f>
        <v>Wardrobe Organizer</v>
      </c>
      <c r="D170" t="s">
        <v>27</v>
      </c>
      <c r="E170" t="str">
        <f>VLOOKUP(Amazon_1P__2[[#This Row],[ASIN]],[2]Sheet1!$B:$E,4,FALSE)</f>
        <v>BJWZ0029-VBTRJP3-FBA</v>
      </c>
      <c r="F170">
        <v>2</v>
      </c>
      <c r="G170" s="8">
        <v>928.82</v>
      </c>
      <c r="H170" s="2" t="s">
        <v>113</v>
      </c>
    </row>
    <row r="171" spans="1:8" x14ac:dyDescent="0.25">
      <c r="A171" s="1">
        <v>45895</v>
      </c>
      <c r="B171" t="s">
        <v>56</v>
      </c>
      <c r="C171" t="str">
        <f>VLOOKUP(Amazon_1P__2[[#This Row],[ASIN]],[1]Table1__2!$C:$E,3,FALSE)</f>
        <v>Wardrobe Organizer</v>
      </c>
      <c r="D171" t="s">
        <v>27</v>
      </c>
      <c r="E171" t="str">
        <f>VLOOKUP(Amazon_1P__2[[#This Row],[ASIN]],[2]Sheet1!$B:$E,4,FALSE)</f>
        <v>BJWZ0008-PVTRSTL-P2</v>
      </c>
      <c r="F171">
        <v>2</v>
      </c>
      <c r="G171" s="8">
        <v>925.43</v>
      </c>
      <c r="H171" s="2" t="s">
        <v>113</v>
      </c>
    </row>
    <row r="172" spans="1:8" x14ac:dyDescent="0.25">
      <c r="A172" s="1">
        <v>45895</v>
      </c>
      <c r="B172" t="s">
        <v>65</v>
      </c>
      <c r="C172" t="str">
        <f>VLOOKUP(Amazon_1P__2[[#This Row],[ASIN]],[1]Table1__2!$C:$E,3,FALSE)</f>
        <v>Tape</v>
      </c>
      <c r="D172" t="s">
        <v>32</v>
      </c>
      <c r="E172" t="str">
        <f>VLOOKUP(Amazon_1P__2[[#This Row],[ASIN]],'[1]Table1 (2)'!$A:$B,2,FALSE)</f>
        <v>TK-TAPE-ELECTRICAL-6M-17MM-PACK6</v>
      </c>
      <c r="F172">
        <v>6</v>
      </c>
      <c r="G172" s="8">
        <v>875.1</v>
      </c>
      <c r="H172" s="2" t="s">
        <v>113</v>
      </c>
    </row>
    <row r="173" spans="1:8" x14ac:dyDescent="0.25">
      <c r="A173" s="1">
        <v>45895</v>
      </c>
      <c r="B173" t="s">
        <v>91</v>
      </c>
      <c r="C173" t="str">
        <f>VLOOKUP(Amazon_1P__2[[#This Row],[ASIN]],[1]Table1__2!$C:$E,3,FALSE)</f>
        <v>Multipurpose Organizer</v>
      </c>
      <c r="D173" t="s">
        <v>27</v>
      </c>
      <c r="E173" t="str">
        <f>VLOOKUP(Amazon_1P__2[[#This Row],[ASIN]],'[1]Table1 (2)'!$A:$B,2,FALSE)</f>
        <v>BJMZ0009-MMBKH05S</v>
      </c>
      <c r="F173">
        <v>1</v>
      </c>
      <c r="G173" s="8">
        <v>846.61</v>
      </c>
      <c r="H173" s="2" t="s">
        <v>113</v>
      </c>
    </row>
    <row r="174" spans="1:8" x14ac:dyDescent="0.25">
      <c r="A174" s="1">
        <v>45895</v>
      </c>
      <c r="B174" t="s">
        <v>92</v>
      </c>
      <c r="C174" t="str">
        <f>VLOOKUP(Amazon_1P__2[[#This Row],[ASIN]],[1]Table1__2!$C:$E,3,FALSE)</f>
        <v>Multipurpose Organizer</v>
      </c>
      <c r="D174" t="s">
        <v>27</v>
      </c>
      <c r="E174" t="str">
        <f>VLOOKUP(Amazon_1P__2[[#This Row],[ASIN]],[2]Sheet1!$B:$E,4,FALSE)</f>
        <v>BJMZ0010-MMWHH05S</v>
      </c>
      <c r="F174">
        <v>1</v>
      </c>
      <c r="G174" s="8">
        <v>846.61</v>
      </c>
      <c r="H174" s="2" t="s">
        <v>113</v>
      </c>
    </row>
    <row r="175" spans="1:8" x14ac:dyDescent="0.25">
      <c r="A175" s="1">
        <v>45895</v>
      </c>
      <c r="B175" t="s">
        <v>6</v>
      </c>
      <c r="C175" t="str">
        <f>VLOOKUP(Amazon_1P__2[[#This Row],[ASIN]],[1]Table1__2!$C:$E,3,FALSE)</f>
        <v>Wardrobe Organizer</v>
      </c>
      <c r="D175" t="s">
        <v>27</v>
      </c>
      <c r="E175" t="str">
        <f>VLOOKUP(Amazon_1P__2[[#This Row],[ASIN]],[2]Sheet1!$B:$E,4,FALSE)</f>
        <v>BJWZ0010-OXGYSTL-P4-FBA</v>
      </c>
      <c r="F175">
        <v>1</v>
      </c>
      <c r="G175" s="8">
        <v>768.64</v>
      </c>
      <c r="H175" s="2" t="s">
        <v>113</v>
      </c>
    </row>
    <row r="176" spans="1:8" x14ac:dyDescent="0.25">
      <c r="A176" s="1">
        <v>45895</v>
      </c>
      <c r="B176" t="s">
        <v>77</v>
      </c>
      <c r="C176" t="str">
        <f>VLOOKUP(Amazon_1P__2[[#This Row],[ASIN]],[1]Table1__2!$C:$E,3,FALSE)</f>
        <v>Tape</v>
      </c>
      <c r="D176" t="s">
        <v>32</v>
      </c>
      <c r="E176" t="str">
        <f>VLOOKUP(Amazon_1P__2[[#This Row],[ASIN]],'[1]Table1 (2)'!$A:$B,2,FALSE)</f>
        <v>TK-TAPE-DUCT-25M-48MM</v>
      </c>
      <c r="F176">
        <v>3</v>
      </c>
      <c r="G176" s="8">
        <v>638.14</v>
      </c>
      <c r="H176" s="2" t="s">
        <v>113</v>
      </c>
    </row>
    <row r="177" spans="1:8" x14ac:dyDescent="0.25">
      <c r="A177" s="1">
        <v>45895</v>
      </c>
      <c r="B177" t="s">
        <v>22</v>
      </c>
      <c r="C177" t="str">
        <f>VLOOKUP(Amazon_1P__2[[#This Row],[ASIN]],[1]Table1__2!$C:$E,3,FALSE)</f>
        <v>Wardrobe Organizer</v>
      </c>
      <c r="D177" t="s">
        <v>27</v>
      </c>
      <c r="E177" t="str">
        <f>VLOOKUP(Amazon_1P__2[[#This Row],[ASIN]],[2]Sheet1!$B:$E,4,FALSE)</f>
        <v>BJWZ0014-PVTR24L-FBA</v>
      </c>
      <c r="F177">
        <v>1</v>
      </c>
      <c r="G177" s="8">
        <v>634.75</v>
      </c>
      <c r="H177" s="2" t="s">
        <v>113</v>
      </c>
    </row>
    <row r="178" spans="1:8" x14ac:dyDescent="0.25">
      <c r="A178" s="1">
        <v>45895</v>
      </c>
      <c r="B178" t="s">
        <v>53</v>
      </c>
      <c r="C178" t="e">
        <f>VLOOKUP(Amazon_1P__2[[#This Row],[ASIN]],[1]Table1__2!$C:$E,3,FALSE)</f>
        <v>#N/A</v>
      </c>
      <c r="D178" t="s">
        <v>31</v>
      </c>
      <c r="E178" t="e">
        <f>VLOOKUP(Amazon_1P__2[[#This Row],[ASIN]],'[1]Table1 (2)'!$A:$B,2,FALSE)</f>
        <v>#N/A</v>
      </c>
      <c r="F178">
        <v>1</v>
      </c>
      <c r="G178" s="8">
        <v>633.9</v>
      </c>
      <c r="H178" s="2" t="s">
        <v>113</v>
      </c>
    </row>
    <row r="179" spans="1:8" x14ac:dyDescent="0.25">
      <c r="A179" s="1">
        <v>45895</v>
      </c>
      <c r="B179" t="s">
        <v>78</v>
      </c>
      <c r="C179" t="str">
        <f>VLOOKUP(Amazon_1P__2[[#This Row],[ASIN]],[1]Table1__2!$C:$E,3,FALSE)</f>
        <v>Resin</v>
      </c>
      <c r="D179" t="s">
        <v>32</v>
      </c>
      <c r="E179" t="str">
        <f>VLOOKUP(Amazon_1P__2[[#This Row],[ASIN]],'[1]Table1 (2)'!$A:$B,2,FALSE)</f>
        <v>TK-RESINKIT-21-150</v>
      </c>
      <c r="F179">
        <v>2</v>
      </c>
      <c r="G179" s="8">
        <v>619.49</v>
      </c>
      <c r="H179" s="2" t="s">
        <v>113</v>
      </c>
    </row>
    <row r="180" spans="1:8" x14ac:dyDescent="0.25">
      <c r="A180" s="1">
        <v>45895</v>
      </c>
      <c r="B180" t="s">
        <v>93</v>
      </c>
      <c r="C180" t="str">
        <f>VLOOKUP(Amazon_1P__2[[#This Row],[ASIN]],[1]Table1__2!$C:$E,3,FALSE)</f>
        <v>Resin</v>
      </c>
      <c r="D180" t="s">
        <v>32</v>
      </c>
      <c r="E180" t="str">
        <f>VLOOKUP(Amazon_1P__2[[#This Row],[ASIN]],'[1]Table1 (2)'!$A:$B,2,FALSE)</f>
        <v>TK-RESIN-21-150-JEWELKEYCHAIN-FBA</v>
      </c>
      <c r="F180">
        <v>1</v>
      </c>
      <c r="G180" s="8">
        <v>592.37</v>
      </c>
      <c r="H180" s="2" t="s">
        <v>113</v>
      </c>
    </row>
    <row r="181" spans="1:8" x14ac:dyDescent="0.25">
      <c r="A181" s="1">
        <v>45895</v>
      </c>
      <c r="B181" t="s">
        <v>86</v>
      </c>
      <c r="C181" t="str">
        <f>VLOOKUP(Amazon_1P__2[[#This Row],[ASIN]],[1]Table1__2!$C:$E,3,FALSE)</f>
        <v>Resin</v>
      </c>
      <c r="D181" t="s">
        <v>32</v>
      </c>
      <c r="E181" t="str">
        <f>VLOOKUP(Amazon_1P__2[[#This Row],[ASIN]],'[1]Table1 (2)'!$A:$B,2,FALSE)</f>
        <v>TK-RESIN-21-150-ALPHABETCHARM-FBA</v>
      </c>
      <c r="F181">
        <v>1</v>
      </c>
      <c r="G181" s="8">
        <v>544.07000000000005</v>
      </c>
      <c r="H181" s="2" t="s">
        <v>113</v>
      </c>
    </row>
    <row r="182" spans="1:8" x14ac:dyDescent="0.25">
      <c r="A182" s="1">
        <v>45895</v>
      </c>
      <c r="B182" t="s">
        <v>8</v>
      </c>
      <c r="C182" t="str">
        <f>VLOOKUP(Amazon_1P__2[[#This Row],[ASIN]],[1]Table1__2!$C:$E,3,FALSE)</f>
        <v>Face Care</v>
      </c>
      <c r="D182" t="s">
        <v>34</v>
      </c>
      <c r="E182" t="str">
        <f>VLOOKUP(Amazon_1P__2[[#This Row],[ASIN]],[2]Sheet1!$B:$E,4,FALSE)</f>
        <v>PRFCFC001-50-P1-FBA</v>
      </c>
      <c r="F182">
        <v>3</v>
      </c>
      <c r="G182" s="8">
        <v>505.92</v>
      </c>
      <c r="H182" s="2" t="s">
        <v>113</v>
      </c>
    </row>
    <row r="183" spans="1:8" x14ac:dyDescent="0.25">
      <c r="A183" s="1">
        <v>45895</v>
      </c>
      <c r="B183" t="s">
        <v>54</v>
      </c>
      <c r="C183" t="str">
        <f>VLOOKUP(Amazon_1P__2[[#This Row],[ASIN]],[1]Table1__2!$C:$E,3,FALSE)</f>
        <v>Resin</v>
      </c>
      <c r="D183" t="s">
        <v>32</v>
      </c>
      <c r="E183" t="str">
        <f>VLOOKUP(Amazon_1P__2[[#This Row],[ASIN]],'[1]Table1 (2)'!$A:$B,2,FALSE)</f>
        <v>TK-RESINKIT-31-400</v>
      </c>
      <c r="F183">
        <v>1</v>
      </c>
      <c r="G183" s="8">
        <v>505.08</v>
      </c>
      <c r="H183" s="2" t="s">
        <v>113</v>
      </c>
    </row>
    <row r="184" spans="1:8" x14ac:dyDescent="0.25">
      <c r="A184" s="1">
        <v>45895</v>
      </c>
      <c r="B184" t="s">
        <v>60</v>
      </c>
      <c r="C184" t="str">
        <f>VLOOKUP(Amazon_1P__2[[#This Row],[ASIN]],[1]Table1__2!$C:$E,3,FALSE)</f>
        <v>Tape</v>
      </c>
      <c r="D184" t="s">
        <v>32</v>
      </c>
      <c r="E184" t="str">
        <f>VLOOKUP(Amazon_1P__2[[#This Row],[ASIN]],'[1]Table1 (2)'!$A:$B,2,FALSE)</f>
        <v>TK-TAPE-ANTISKID-5M-50MM-TRANS-FBA</v>
      </c>
      <c r="F184">
        <v>1</v>
      </c>
      <c r="G184" s="8">
        <v>355.93</v>
      </c>
      <c r="H184" s="2" t="s">
        <v>113</v>
      </c>
    </row>
    <row r="185" spans="1:8" x14ac:dyDescent="0.25">
      <c r="A185" s="1">
        <v>45895</v>
      </c>
      <c r="B185" t="s">
        <v>3</v>
      </c>
      <c r="C185" t="str">
        <f>VLOOKUP(Amazon_1P__2[[#This Row],[ASIN]],[1]Table1__2!$C:$E,3,FALSE)</f>
        <v>Face Care</v>
      </c>
      <c r="D185" t="s">
        <v>34</v>
      </c>
      <c r="E185" t="str">
        <f>VLOOKUP(Amazon_1P__2[[#This Row],[ASIN]],[2]Sheet1!$B:$E,4,FALSE)</f>
        <v>PRFCSS001-50-P1-FBA</v>
      </c>
      <c r="F185">
        <v>2</v>
      </c>
      <c r="G185" s="8">
        <v>337.28</v>
      </c>
      <c r="H185" s="2" t="s">
        <v>113</v>
      </c>
    </row>
    <row r="186" spans="1:8" x14ac:dyDescent="0.25">
      <c r="A186" s="1">
        <v>45895</v>
      </c>
      <c r="B186" t="s">
        <v>61</v>
      </c>
      <c r="C186" t="e">
        <f>VLOOKUP(Amazon_1P__2[[#This Row],[ASIN]],[1]Table1__2!$C:$E,3,FALSE)</f>
        <v>#N/A</v>
      </c>
      <c r="D186" t="s">
        <v>31</v>
      </c>
      <c r="E186" t="e">
        <f>VLOOKUP(Amazon_1P__2[[#This Row],[ASIN]],'[1]Table1 (2)'!$A:$B,2,FALSE)</f>
        <v>#N/A</v>
      </c>
      <c r="F186">
        <v>1</v>
      </c>
      <c r="G186" s="8">
        <v>327.96</v>
      </c>
      <c r="H186" s="2" t="s">
        <v>113</v>
      </c>
    </row>
    <row r="187" spans="1:8" x14ac:dyDescent="0.25">
      <c r="A187" s="1">
        <v>45895</v>
      </c>
      <c r="B187" t="s">
        <v>76</v>
      </c>
      <c r="C187" t="str">
        <f>VLOOKUP(Amazon_1P__2[[#This Row],[ASIN]],[1]Table1__2!$C:$E,3,FALSE)</f>
        <v>Wardrobe Organizer</v>
      </c>
      <c r="D187" t="s">
        <v>27</v>
      </c>
      <c r="E187" t="str">
        <f>VLOOKUP(Amazon_1P__2[[#This Row],[ASIN]],'[1]Table1 (2)'!$A:$B,2,FALSE)</f>
        <v>BJWZ0008-PVTRSTL-P1</v>
      </c>
      <c r="F187">
        <v>1</v>
      </c>
      <c r="G187" s="8">
        <v>252.54</v>
      </c>
      <c r="H187" s="2" t="s">
        <v>113</v>
      </c>
    </row>
    <row r="188" spans="1:8" x14ac:dyDescent="0.25">
      <c r="A188" s="1">
        <v>45895</v>
      </c>
      <c r="B188" t="s">
        <v>57</v>
      </c>
      <c r="C188" t="str">
        <f>VLOOKUP(Amazon_1P__2[[#This Row],[ASIN]],[1]Table1__2!$C:$E,3,FALSE)</f>
        <v>Tape</v>
      </c>
      <c r="D188" t="s">
        <v>32</v>
      </c>
      <c r="E188" t="str">
        <f>VLOOKUP(Amazon_1P__2[[#This Row],[ASIN]],'[1]Table1 (2)'!$A:$B,2,FALSE)</f>
        <v>TK-TAPE-ALUMINIUM-5M-2INCH</v>
      </c>
      <c r="F188">
        <v>1</v>
      </c>
      <c r="G188" s="8">
        <v>222.88</v>
      </c>
      <c r="H188" s="2" t="s">
        <v>113</v>
      </c>
    </row>
    <row r="189" spans="1:8" x14ac:dyDescent="0.25">
      <c r="A189" s="1">
        <v>45895</v>
      </c>
      <c r="B189" t="s">
        <v>52</v>
      </c>
      <c r="C189" t="str">
        <f>VLOOKUP(Amazon_1P__2[[#This Row],[ASIN]],[1]Table1__2!$C:$E,3,FALSE)</f>
        <v>Tape</v>
      </c>
      <c r="D189" t="s">
        <v>32</v>
      </c>
      <c r="E189" t="str">
        <f>VLOOKUP(Amazon_1P__2[[#This Row],[ASIN]],'[1]Table1 (2)'!$A:$B,2,FALSE)</f>
        <v>TK-TAPE-MASKING-20M-24MM-PACK1</v>
      </c>
      <c r="F189">
        <v>3</v>
      </c>
      <c r="G189" s="8">
        <v>216.1</v>
      </c>
      <c r="H189" s="2" t="s">
        <v>113</v>
      </c>
    </row>
    <row r="190" spans="1:8" x14ac:dyDescent="0.25">
      <c r="A190" s="1">
        <v>45895</v>
      </c>
      <c r="B190" t="s">
        <v>63</v>
      </c>
      <c r="C190" t="str">
        <f>VLOOKUP(Amazon_1P__2[[#This Row],[ASIN]],[1]Table1__2!$C:$E,3,FALSE)</f>
        <v>Tape</v>
      </c>
      <c r="D190" t="s">
        <v>32</v>
      </c>
      <c r="E190" t="str">
        <f>VLOOKUP(Amazon_1P__2[[#This Row],[ASIN]],'[1]Table1 (2)'!$A:$B,2,FALSE)</f>
        <v>TK-TAPE-ALUMINIUM-3M-2INCH</v>
      </c>
      <c r="F190">
        <v>2</v>
      </c>
      <c r="G190" s="8">
        <v>183.06</v>
      </c>
      <c r="H190" s="2" t="s">
        <v>113</v>
      </c>
    </row>
    <row r="191" spans="1:8" x14ac:dyDescent="0.25">
      <c r="A191" s="1">
        <v>45895</v>
      </c>
      <c r="B191" t="s">
        <v>81</v>
      </c>
      <c r="C191" t="str">
        <f>VLOOKUP(Amazon_1P__2[[#This Row],[ASIN]],[1]Table1__2!$C:$E,3,FALSE)</f>
        <v>Tape</v>
      </c>
      <c r="D191" t="s">
        <v>32</v>
      </c>
      <c r="E191" t="str">
        <f>VLOOKUP(Amazon_1P__2[[#This Row],[ASIN]],'[1]Table1 (2)'!$A:$B,2,FALSE)</f>
        <v>TK-TAPE-BOPP-TRANS-65M-3INCH-P1</v>
      </c>
      <c r="F191">
        <v>1</v>
      </c>
      <c r="G191" s="8">
        <v>139.83000000000001</v>
      </c>
      <c r="H191" s="2" t="s">
        <v>113</v>
      </c>
    </row>
    <row r="192" spans="1:8" x14ac:dyDescent="0.25">
      <c r="A192" s="1">
        <v>45895</v>
      </c>
      <c r="B192" t="s">
        <v>11</v>
      </c>
      <c r="C192" t="str">
        <f>VLOOKUP(Amazon_1P__2[[#This Row],[ASIN]],[1]Table1__2!$C:$E,3,FALSE)</f>
        <v>Wardrobe Organizer</v>
      </c>
      <c r="D192" t="s">
        <v>27</v>
      </c>
      <c r="E192" t="str">
        <f>VLOOKUP(Amazon_1P__2[[#This Row],[ASIN]],[2]Sheet1!$B:$E,4,FALSE)</f>
        <v>BJWZ0033-VBTRJP6-FBA</v>
      </c>
      <c r="F192">
        <v>0</v>
      </c>
      <c r="G192" s="8">
        <v>0</v>
      </c>
      <c r="H192" s="2" t="s">
        <v>113</v>
      </c>
    </row>
    <row r="193" spans="1:8" x14ac:dyDescent="0.25">
      <c r="A193" s="1">
        <v>45895</v>
      </c>
      <c r="B193" t="s">
        <v>64</v>
      </c>
      <c r="C193" t="str">
        <f>VLOOKUP(Amazon_1P__2[[#This Row],[ASIN]],[1]Table1__2!$C:$E,3,FALSE)</f>
        <v>Tape</v>
      </c>
      <c r="D193" t="s">
        <v>32</v>
      </c>
      <c r="E193" t="str">
        <f>VLOOKUP(Amazon_1P__2[[#This Row],[ASIN]],'[1]Table1 (2)'!$A:$B,2,FALSE)</f>
        <v>TK-TAPE-KRAFTPAPER-50M-2INCH</v>
      </c>
      <c r="F193">
        <v>0</v>
      </c>
      <c r="G193" s="8">
        <v>0</v>
      </c>
      <c r="H193" s="2" t="s">
        <v>113</v>
      </c>
    </row>
    <row r="194" spans="1:8" x14ac:dyDescent="0.25">
      <c r="A194" s="1">
        <v>45895</v>
      </c>
      <c r="B194" t="s">
        <v>94</v>
      </c>
      <c r="C194" t="str">
        <f>VLOOKUP(Amazon_1P__2[[#This Row],[ASIN]],[1]Table1__2!$C:$E,3,FALSE)</f>
        <v>Tape</v>
      </c>
      <c r="D194" t="s">
        <v>32</v>
      </c>
      <c r="E194" t="str">
        <f>VLOOKUP(Amazon_1P__2[[#This Row],[ASIN]],'[1]Table1 (2)'!$A:$B,2,FALSE)</f>
        <v>TK-TAPE-TISSUE-50M-1INCH-PACK2</v>
      </c>
      <c r="F194">
        <v>0</v>
      </c>
      <c r="G194" s="8">
        <v>0</v>
      </c>
      <c r="H194" s="2" t="s">
        <v>113</v>
      </c>
    </row>
    <row r="195" spans="1:8" x14ac:dyDescent="0.25">
      <c r="A195" s="1">
        <v>45895</v>
      </c>
      <c r="B195" t="s">
        <v>4</v>
      </c>
      <c r="C195" t="str">
        <f>VLOOKUP(Amazon_1P__2[[#This Row],[ASIN]],[1]Table1__2!$C:$E,3,FALSE)</f>
        <v>Body Care</v>
      </c>
      <c r="D195" t="s">
        <v>34</v>
      </c>
      <c r="E195" t="str">
        <f>VLOOKUP(Amazon_1P__2[[#This Row],[ASIN]],[2]Sheet1!$B:$E,4,FALSE)</f>
        <v>PRBCUR001-40-P1-FBA</v>
      </c>
      <c r="F195">
        <v>0</v>
      </c>
      <c r="G195" s="8">
        <v>0</v>
      </c>
      <c r="H195" s="2" t="s">
        <v>113</v>
      </c>
    </row>
    <row r="196" spans="1:8" x14ac:dyDescent="0.25">
      <c r="A196" s="1">
        <v>45895</v>
      </c>
      <c r="B196" t="s">
        <v>74</v>
      </c>
      <c r="C196" t="str">
        <f>VLOOKUP(Amazon_1P__2[[#This Row],[ASIN]],[1]Table1__2!$C:$E,3,FALSE)</f>
        <v>Tape</v>
      </c>
      <c r="D196" t="s">
        <v>32</v>
      </c>
      <c r="E196" t="str">
        <f>VLOOKUP(Amazon_1P__2[[#This Row],[ASIN]],'[1]Table1 (2)'!$A:$B,2,FALSE)</f>
        <v>TK-TAPE-VASTU-WHITE-4INCH-15MTR</v>
      </c>
      <c r="F196">
        <v>0</v>
      </c>
      <c r="G196" s="8">
        <v>0</v>
      </c>
      <c r="H196" s="2" t="s">
        <v>113</v>
      </c>
    </row>
    <row r="197" spans="1:8" x14ac:dyDescent="0.25">
      <c r="A197" s="1">
        <v>45895</v>
      </c>
      <c r="B197" t="s">
        <v>17</v>
      </c>
      <c r="C197" t="str">
        <f>VLOOKUP(Amazon_1P__2[[#This Row],[ASIN]],[1]Table1__2!$C:$E,3,FALSE)</f>
        <v>Wardrobe Organizer</v>
      </c>
      <c r="D197" t="s">
        <v>27</v>
      </c>
      <c r="E197" t="str">
        <f>VLOOKUP(Amazon_1P__2[[#This Row],[ASIN]],[2]Sheet1!$B:$E,4,FALSE)</f>
        <v>BJWZ0012-PCLGSTL-P2</v>
      </c>
      <c r="F197">
        <v>0</v>
      </c>
      <c r="G197" s="8">
        <v>0</v>
      </c>
      <c r="H197" s="2" t="s">
        <v>113</v>
      </c>
    </row>
    <row r="198" spans="1:8" x14ac:dyDescent="0.25">
      <c r="A198" s="1">
        <v>45895</v>
      </c>
      <c r="B198" t="s">
        <v>0</v>
      </c>
      <c r="C198" t="str">
        <f>VLOOKUP(Amazon_1P__2[[#This Row],[ASIN]],[1]Table1__2!$C:$E,3,FALSE)</f>
        <v>Body Care</v>
      </c>
      <c r="D198" t="s">
        <v>34</v>
      </c>
      <c r="E198" t="str">
        <f>VLOOKUP(Amazon_1P__2[[#This Row],[ASIN]],[2]Sheet1!$B:$E,4,FALSE)</f>
        <v>PRBCBW001-250-P1-FBA</v>
      </c>
      <c r="F198">
        <v>0</v>
      </c>
      <c r="G198" s="8">
        <v>0</v>
      </c>
      <c r="H198" s="2" t="s">
        <v>113</v>
      </c>
    </row>
    <row r="199" spans="1:8" x14ac:dyDescent="0.25">
      <c r="A199" s="1">
        <v>45895</v>
      </c>
      <c r="B199" t="s">
        <v>5</v>
      </c>
      <c r="C199" t="str">
        <f>VLOOKUP(Amazon_1P__2[[#This Row],[ASIN]],[1]Table1__2!$C:$E,3,FALSE)</f>
        <v>Wardrobe Organizer</v>
      </c>
      <c r="D199" t="s">
        <v>27</v>
      </c>
      <c r="E199" t="str">
        <f>VLOOKUP(Amazon_1P__2[[#This Row],[ASIN]],[2]Sheet1!$B:$E,4,FALSE)</f>
        <v>BJWZ0028-VBTRLP3-FBA</v>
      </c>
      <c r="F199">
        <v>0</v>
      </c>
      <c r="G199" s="8">
        <v>0</v>
      </c>
      <c r="H199" s="2" t="s">
        <v>113</v>
      </c>
    </row>
    <row r="200" spans="1:8" x14ac:dyDescent="0.25">
      <c r="A200" s="1">
        <v>45895</v>
      </c>
      <c r="B200" t="s">
        <v>71</v>
      </c>
      <c r="C200" t="str">
        <f>VLOOKUP(Amazon_1P__2[[#This Row],[ASIN]],[1]Table1__2!$C:$E,3,FALSE)</f>
        <v>Tape</v>
      </c>
      <c r="D200" t="s">
        <v>32</v>
      </c>
      <c r="E200" t="str">
        <f>VLOOKUP(Amazon_1P__2[[#This Row],[ASIN]],'[1]Table1 (2)'!$A:$B,2,FALSE)</f>
        <v>TK-TAPE-FLOORMARKING-ZEBRA-15M-2INCH</v>
      </c>
      <c r="F200">
        <v>0</v>
      </c>
      <c r="G200" s="8">
        <v>0</v>
      </c>
      <c r="H200" s="2" t="s">
        <v>113</v>
      </c>
    </row>
    <row r="201" spans="1:8" x14ac:dyDescent="0.25">
      <c r="A201" s="1">
        <v>45895</v>
      </c>
      <c r="B201" t="s">
        <v>19</v>
      </c>
      <c r="C201" t="str">
        <f>VLOOKUP(Amazon_1P__2[[#This Row],[ASIN]],[1]Table1__2!$C:$E,3,FALSE)</f>
        <v>Wardrobe Organizer</v>
      </c>
      <c r="D201" t="s">
        <v>27</v>
      </c>
      <c r="E201" t="str">
        <f>VLOOKUP(Amazon_1P__2[[#This Row],[ASIN]],[2]Sheet1!$B:$E,4,FALSE)</f>
        <v>BJWZ0027-VBTRMP3-FBA</v>
      </c>
      <c r="F201">
        <v>0</v>
      </c>
      <c r="G201" s="8">
        <v>0</v>
      </c>
      <c r="H201" s="2" t="s">
        <v>113</v>
      </c>
    </row>
    <row r="202" spans="1:8" x14ac:dyDescent="0.25">
      <c r="A202" s="1">
        <v>45895</v>
      </c>
      <c r="B202" t="s">
        <v>9</v>
      </c>
      <c r="C202" t="str">
        <f>VLOOKUP(Amazon_1P__2[[#This Row],[ASIN]],[1]Table1__2!$C:$E,3,FALSE)</f>
        <v>Footwear Organizer</v>
      </c>
      <c r="D202" t="s">
        <v>27</v>
      </c>
      <c r="E202" t="str">
        <f>VLOOKUP(Amazon_1P__2[[#This Row],[ASIN]],[2]Sheet1!$B:$E,4,FALSE)</f>
        <v>BJFZ0010-PPBT12S-CLOTHRACK</v>
      </c>
      <c r="F202">
        <v>0</v>
      </c>
      <c r="G202" s="8">
        <v>0</v>
      </c>
      <c r="H202" s="2" t="s">
        <v>113</v>
      </c>
    </row>
    <row r="203" spans="1:8" x14ac:dyDescent="0.25">
      <c r="A203" s="1">
        <v>45895</v>
      </c>
      <c r="B203" t="s">
        <v>48</v>
      </c>
      <c r="C203" t="str">
        <f>VLOOKUP(Amazon_1P__2[[#This Row],[ASIN]],[1]Table1__2!$C:$E,3,FALSE)</f>
        <v>Wardrobe Organizer</v>
      </c>
      <c r="D203" t="s">
        <v>27</v>
      </c>
      <c r="E203" t="str">
        <f>VLOOKUP(Amazon_1P__2[[#This Row],[ASIN]],'[1]Table1 (2)'!$A:$B,2,FALSE)</f>
        <v>BJWZ0016-PVTR110</v>
      </c>
      <c r="F203">
        <v>0</v>
      </c>
      <c r="G203" s="8">
        <v>0</v>
      </c>
      <c r="H203" s="2" t="s">
        <v>113</v>
      </c>
    </row>
    <row r="204" spans="1:8" x14ac:dyDescent="0.25">
      <c r="A204" s="1">
        <v>45895</v>
      </c>
      <c r="B204" t="s">
        <v>95</v>
      </c>
      <c r="C204" t="str">
        <f>VLOOKUP(Amazon_1P__2[[#This Row],[ASIN]],[1]Table1__2!$C:$E,3,FALSE)</f>
        <v>Footwear Organizer</v>
      </c>
      <c r="D204" t="s">
        <v>27</v>
      </c>
      <c r="E204" t="str">
        <f>VLOOKUP(Amazon_1P__2[[#This Row],[ASIN]],'[1]Table1 (2)'!$A:$B,2,FALSE)</f>
        <v>BJFZ0014-PPWW5S-CLOTHRACK</v>
      </c>
      <c r="F204">
        <v>0</v>
      </c>
      <c r="G204" s="8">
        <v>0</v>
      </c>
      <c r="H204" s="2" t="s">
        <v>113</v>
      </c>
    </row>
    <row r="205" spans="1:8" x14ac:dyDescent="0.25">
      <c r="A205" s="1">
        <v>45895</v>
      </c>
      <c r="B205" t="s">
        <v>58</v>
      </c>
      <c r="C205" t="str">
        <f>VLOOKUP(Amazon_1P__2[[#This Row],[ASIN]],[1]Table1__2!$C:$E,3,FALSE)</f>
        <v>Tape</v>
      </c>
      <c r="D205" t="s">
        <v>32</v>
      </c>
      <c r="E205" t="str">
        <f>VLOOKUP(Amazon_1P__2[[#This Row],[ASIN]],'[1]Table1 (2)'!$A:$B,2,FALSE)</f>
        <v>TK-TAPE-BOPP-BROWN-65M-2INCH-P2</v>
      </c>
      <c r="F205">
        <v>0</v>
      </c>
      <c r="G205" s="8">
        <v>0</v>
      </c>
      <c r="H205" s="2" t="s">
        <v>113</v>
      </c>
    </row>
    <row r="206" spans="1:8" x14ac:dyDescent="0.25">
      <c r="A206" s="1">
        <v>45895</v>
      </c>
      <c r="B206" t="s">
        <v>89</v>
      </c>
      <c r="C206" t="str">
        <f>VLOOKUP(Amazon_1P__2[[#This Row],[ASIN]],[1]Table1__2!$C:$E,3,FALSE)</f>
        <v>Tape</v>
      </c>
      <c r="D206" t="s">
        <v>32</v>
      </c>
      <c r="E206" t="str">
        <f>VLOOKUP(Amazon_1P__2[[#This Row],[ASIN]],'[1]Table1 (2)'!$A:$B,2,FALSE)</f>
        <v>TK-TAPE-VASTU-BLUE-4INCH-15MTR</v>
      </c>
      <c r="F206">
        <v>0</v>
      </c>
      <c r="G206" s="8">
        <v>0</v>
      </c>
      <c r="H206" s="2" t="s">
        <v>113</v>
      </c>
    </row>
    <row r="207" spans="1:8" x14ac:dyDescent="0.25">
      <c r="A207" s="1">
        <v>45895</v>
      </c>
      <c r="B207" t="s">
        <v>82</v>
      </c>
      <c r="C207" t="str">
        <f>VLOOKUP(Amazon_1P__2[[#This Row],[ASIN]],[1]Table1__2!$C:$E,3,FALSE)</f>
        <v>Multipurpose Organizer</v>
      </c>
      <c r="D207" t="s">
        <v>27</v>
      </c>
      <c r="E207" t="str">
        <f>VLOOKUP(Amazon_1P__2[[#This Row],[ASIN]],'[1]Table1 (2)'!$A:$B,2,FALSE)</f>
        <v>BJMZ00011-PPWT08S</v>
      </c>
      <c r="F207">
        <v>0</v>
      </c>
      <c r="G207" s="8">
        <v>0</v>
      </c>
      <c r="H207" s="2" t="s">
        <v>113</v>
      </c>
    </row>
    <row r="208" spans="1:8" x14ac:dyDescent="0.25">
      <c r="A208" s="1">
        <v>45895</v>
      </c>
      <c r="B208" t="s">
        <v>85</v>
      </c>
      <c r="C208" t="str">
        <f>VLOOKUP(Amazon_1P__2[[#This Row],[ASIN]],[1]Table1__2!$C:$E,3,FALSE)</f>
        <v>Tape</v>
      </c>
      <c r="D208" t="s">
        <v>32</v>
      </c>
      <c r="E208" t="str">
        <f>VLOOKUP(Amazon_1P__2[[#This Row],[ASIN]],'[1]Table1 (2)'!$A:$B,2,FALSE)</f>
        <v>TK-TAPE-ACRYLIC-5M-12MM-2MM</v>
      </c>
      <c r="F208">
        <v>0</v>
      </c>
      <c r="G208" s="8">
        <v>0</v>
      </c>
      <c r="H208" s="2" t="s">
        <v>113</v>
      </c>
    </row>
    <row r="209" spans="1:8" x14ac:dyDescent="0.25">
      <c r="A209" s="1">
        <v>45895</v>
      </c>
      <c r="B209" t="s">
        <v>51</v>
      </c>
      <c r="C209" t="str">
        <f>VLOOKUP(Amazon_1P__2[[#This Row],[ASIN]],[1]Table1__2!$C:$E,3,FALSE)</f>
        <v>Wardrobe Organizer</v>
      </c>
      <c r="D209" t="s">
        <v>27</v>
      </c>
      <c r="E209" t="str">
        <f>VLOOKUP(Amazon_1P__2[[#This Row],[ASIN]],[2]Sheet1!$B:$E,4,FALSE)</f>
        <v>BJWZ0004-POLG13G-FBA</v>
      </c>
      <c r="F209">
        <v>0</v>
      </c>
      <c r="G209" s="8">
        <v>0</v>
      </c>
      <c r="H209" s="2" t="s">
        <v>113</v>
      </c>
    </row>
    <row r="210" spans="1:8" x14ac:dyDescent="0.25">
      <c r="A210" s="1">
        <v>45895</v>
      </c>
      <c r="B210" t="s">
        <v>87</v>
      </c>
      <c r="C210" t="str">
        <f>VLOOKUP(Amazon_1P__2[[#This Row],[ASIN]],[1]Table1__2!$C:$E,3,FALSE)</f>
        <v>Drawer Organizer</v>
      </c>
      <c r="D210" t="s">
        <v>27</v>
      </c>
      <c r="E210" t="str">
        <f>VLOOKUP(Amazon_1P__2[[#This Row],[ASIN]],'[1]Table1 (2)'!$A:$B,2,FALSE)</f>
        <v>BJDZ0001-PETR007</v>
      </c>
      <c r="F210">
        <v>0</v>
      </c>
      <c r="G210" s="8">
        <v>0</v>
      </c>
      <c r="H210" s="2" t="s">
        <v>113</v>
      </c>
    </row>
    <row r="211" spans="1:8" x14ac:dyDescent="0.25">
      <c r="A211" s="1">
        <v>45895</v>
      </c>
      <c r="B211" t="s">
        <v>21</v>
      </c>
      <c r="C211" t="str">
        <f>VLOOKUP(Amazon_1P__2[[#This Row],[ASIN]],[1]Table1__2!$C:$E,3,FALSE)</f>
        <v>Wardrobe Organizer</v>
      </c>
      <c r="D211" t="s">
        <v>27</v>
      </c>
      <c r="E211" t="str">
        <f>VLOOKUP(Amazon_1P__2[[#This Row],[ASIN]],[2]Sheet1!$B:$E,4,FALSE)</f>
        <v>BJWZ0034-VBTRC12-FBA</v>
      </c>
      <c r="F211">
        <v>0</v>
      </c>
      <c r="G211" s="8">
        <v>0</v>
      </c>
      <c r="H211" s="2" t="s">
        <v>113</v>
      </c>
    </row>
    <row r="212" spans="1:8" x14ac:dyDescent="0.25">
      <c r="A212" s="1">
        <v>45895</v>
      </c>
      <c r="B212" t="s">
        <v>67</v>
      </c>
      <c r="C212" t="str">
        <f>VLOOKUP(Amazon_1P__2[[#This Row],[ASIN]],[1]Table1__2!$C:$E,3,FALSE)</f>
        <v>Drawer Organizer</v>
      </c>
      <c r="D212" t="s">
        <v>27</v>
      </c>
      <c r="E212" t="str">
        <f>VLOOKUP(Amazon_1P__2[[#This Row],[ASIN]],'[1]Table1 (2)'!$A:$B,2,FALSE)</f>
        <v>BJDZ0004-PETRE8G</v>
      </c>
      <c r="F212">
        <v>0</v>
      </c>
      <c r="G212" s="8">
        <v>0</v>
      </c>
      <c r="H212" s="2" t="s">
        <v>113</v>
      </c>
    </row>
    <row r="213" spans="1:8" x14ac:dyDescent="0.25">
      <c r="A213" s="1">
        <v>45895</v>
      </c>
      <c r="B213" t="s">
        <v>23</v>
      </c>
      <c r="C213" t="str">
        <f>VLOOKUP(Amazon_1P__2[[#This Row],[ASIN]],[1]Table1__2!$C:$E,3,FALSE)</f>
        <v>Wardrobe Organizer</v>
      </c>
      <c r="D213" t="s">
        <v>27</v>
      </c>
      <c r="E213" t="str">
        <f>VLOOKUP(Amazon_1P__2[[#This Row],[ASIN]],[2]Sheet1!$B:$E,4,FALSE)</f>
        <v>BJWZ0008-PVTRSTL-P4</v>
      </c>
      <c r="F213">
        <v>0</v>
      </c>
      <c r="G213" s="8">
        <v>0</v>
      </c>
      <c r="H213" s="2" t="s">
        <v>113</v>
      </c>
    </row>
    <row r="214" spans="1:8" x14ac:dyDescent="0.25">
      <c r="A214" s="1">
        <v>45895</v>
      </c>
      <c r="B214" t="s">
        <v>55</v>
      </c>
      <c r="C214" t="str">
        <f>VLOOKUP(Amazon_1P__2[[#This Row],[ASIN]],[1]Table1__2!$C:$E,3,FALSE)</f>
        <v>Wardrobe Organizer</v>
      </c>
      <c r="D214" t="s">
        <v>27</v>
      </c>
      <c r="E214" t="str">
        <f>VLOOKUP(Amazon_1P__2[[#This Row],[ASIN]],'[1]Table1 (2)'!$A:$B,2,FALSE)</f>
        <v>BJWZ0010-OXGYSTL-P1</v>
      </c>
      <c r="F214">
        <v>0</v>
      </c>
      <c r="G214" s="8">
        <v>0</v>
      </c>
      <c r="H214" s="2" t="s">
        <v>113</v>
      </c>
    </row>
    <row r="215" spans="1:8" x14ac:dyDescent="0.25">
      <c r="A215" s="1">
        <v>45895</v>
      </c>
      <c r="B215" t="s">
        <v>72</v>
      </c>
      <c r="C215" t="str">
        <f>VLOOKUP(Amazon_1P__2[[#This Row],[ASIN]],[1]Table1__2!$C:$E,3,FALSE)</f>
        <v>Footwear Organizer</v>
      </c>
      <c r="D215" t="s">
        <v>27</v>
      </c>
      <c r="E215" t="str">
        <f>VLOOKUP(Amazon_1P__2[[#This Row],[ASIN]],'[1]Table1 (2)'!$A:$B,2,FALSE)</f>
        <v>BJFZ0014</v>
      </c>
      <c r="F215">
        <v>0</v>
      </c>
      <c r="G215" s="8">
        <v>0</v>
      </c>
      <c r="H215" s="2" t="s">
        <v>113</v>
      </c>
    </row>
    <row r="216" spans="1:8" x14ac:dyDescent="0.25">
      <c r="A216" s="1">
        <v>45895</v>
      </c>
      <c r="B216" t="s">
        <v>62</v>
      </c>
      <c r="C216" t="str">
        <f>VLOOKUP(Amazon_1P__2[[#This Row],[ASIN]],[1]Table1__2!$C:$E,3,FALSE)</f>
        <v>Tape</v>
      </c>
      <c r="D216" t="s">
        <v>32</v>
      </c>
      <c r="E216" t="str">
        <f>VLOOKUP(Amazon_1P__2[[#This Row],[ASIN]],'[1]Table1 (2)'!$A:$B,2,FALSE)</f>
        <v>TK-TAPE-ANTISKID-5M-50MM-YL-BLACK-FBA</v>
      </c>
      <c r="F216">
        <v>0</v>
      </c>
      <c r="G216" s="8">
        <v>0</v>
      </c>
      <c r="H216" s="2" t="s">
        <v>113</v>
      </c>
    </row>
    <row r="217" spans="1:8" x14ac:dyDescent="0.25">
      <c r="A217" s="1">
        <v>45895</v>
      </c>
      <c r="B217" t="s">
        <v>96</v>
      </c>
      <c r="C217" t="str">
        <f>VLOOKUP(Amazon_1P__2[[#This Row],[ASIN]],[1]Table1__2!$C:$E,3,FALSE)</f>
        <v>Footwear Organizer</v>
      </c>
      <c r="D217" t="s">
        <v>27</v>
      </c>
      <c r="E217" t="str">
        <f>VLOOKUP(Amazon_1P__2[[#This Row],[ASIN]],'[1]Table1 (2)'!$A:$B,2,FALSE)</f>
        <v>BJFZ0008-PPWW12S-CLOTHRACK</v>
      </c>
      <c r="F217">
        <v>0</v>
      </c>
      <c r="G217" s="8">
        <v>0</v>
      </c>
      <c r="H217" s="2" t="s">
        <v>113</v>
      </c>
    </row>
    <row r="218" spans="1:8" x14ac:dyDescent="0.25">
      <c r="A218" s="1">
        <v>45895</v>
      </c>
      <c r="B218" t="s">
        <v>97</v>
      </c>
      <c r="C218" t="str">
        <f>VLOOKUP(Amazon_1P__2[[#This Row],[ASIN]],[1]Table1__2!$C:$E,3,FALSE)</f>
        <v>Footwear Organizer</v>
      </c>
      <c r="D218" t="s">
        <v>27</v>
      </c>
      <c r="E218" t="str">
        <f>VLOOKUP(Amazon_1P__2[[#This Row],[ASIN]],'[1]Table1 (2)'!$A:$B,2,FALSE)</f>
        <v>BJFZ0011-PPWW8S-CLOTHRACK</v>
      </c>
      <c r="F218">
        <v>0</v>
      </c>
      <c r="G218" s="8">
        <v>0</v>
      </c>
      <c r="H218" s="2" t="s">
        <v>113</v>
      </c>
    </row>
    <row r="219" spans="1:8" x14ac:dyDescent="0.25">
      <c r="A219" s="1">
        <v>45895</v>
      </c>
      <c r="B219" t="s">
        <v>98</v>
      </c>
      <c r="C219" t="str">
        <f>VLOOKUP(Amazon_1P__2[[#This Row],[ASIN]],[1]Table1__2!$C:$E,3,FALSE)</f>
        <v>Tape</v>
      </c>
      <c r="D219" t="s">
        <v>32</v>
      </c>
      <c r="E219" t="str">
        <f>VLOOKUP(Amazon_1P__2[[#This Row],[ASIN]],'[1]Table1 (2)'!$A:$B,2,FALSE)</f>
        <v>TK-TAPE-ANTISKID-5M-50MM-GLOW-FBA</v>
      </c>
      <c r="F219">
        <v>0</v>
      </c>
      <c r="G219" s="8">
        <v>0</v>
      </c>
      <c r="H219" s="2" t="s">
        <v>113</v>
      </c>
    </row>
    <row r="220" spans="1:8" x14ac:dyDescent="0.25">
      <c r="A220" s="1">
        <v>45895</v>
      </c>
      <c r="B220" t="s">
        <v>59</v>
      </c>
      <c r="C220" t="str">
        <f>VLOOKUP(Amazon_1P__2[[#This Row],[ASIN]],[1]Table1__2!$C:$E,3,FALSE)</f>
        <v>Tape</v>
      </c>
      <c r="D220" t="s">
        <v>32</v>
      </c>
      <c r="E220" t="str">
        <f>VLOOKUP(Amazon_1P__2[[#This Row],[ASIN]],'[1]Table1 (2)'!$A:$B,2,FALSE)</f>
        <v>TK-TAPE-BOPP-TRANS-65M-2INCH-P2</v>
      </c>
      <c r="F220">
        <v>0</v>
      </c>
      <c r="G220" s="8">
        <v>0</v>
      </c>
      <c r="H220" s="2" t="s">
        <v>113</v>
      </c>
    </row>
    <row r="221" spans="1:8" x14ac:dyDescent="0.25">
      <c r="A221" s="1">
        <v>45895</v>
      </c>
      <c r="B221" t="s">
        <v>15</v>
      </c>
      <c r="C221" t="str">
        <f>VLOOKUP(Amazon_1P__2[[#This Row],[ASIN]],[1]Table1__2!$C:$E,3,FALSE)</f>
        <v>Wardrobe Organizer</v>
      </c>
      <c r="D221" t="s">
        <v>27</v>
      </c>
      <c r="E221" t="str">
        <f>VLOOKUP(Amazon_1P__2[[#This Row],[ASIN]],[2]Sheet1!$B:$E,4,FALSE)</f>
        <v>BJWZ0010-OXGYSTL-P2-FBA</v>
      </c>
      <c r="F221">
        <v>0</v>
      </c>
      <c r="G221" s="8">
        <v>0</v>
      </c>
      <c r="H221" s="2" t="s">
        <v>113</v>
      </c>
    </row>
    <row r="222" spans="1:8" x14ac:dyDescent="0.25">
      <c r="A222" s="1">
        <v>45895</v>
      </c>
      <c r="B222" t="s">
        <v>16</v>
      </c>
      <c r="C222" t="str">
        <f>VLOOKUP(Amazon_1P__2[[#This Row],[ASIN]],[1]Table1__2!$C:$E,3,FALSE)</f>
        <v>Wardrobe Organizer</v>
      </c>
      <c r="D222" t="s">
        <v>27</v>
      </c>
      <c r="E222" t="str">
        <f>VLOOKUP(Amazon_1P__2[[#This Row],[ASIN]],[2]Sheet1!$B:$E,4,FALSE)</f>
        <v>BJWZ0019-POLG110-FBA</v>
      </c>
      <c r="F222">
        <v>0</v>
      </c>
      <c r="G222" s="8">
        <v>0</v>
      </c>
      <c r="H222" s="2" t="s">
        <v>113</v>
      </c>
    </row>
    <row r="223" spans="1:8" x14ac:dyDescent="0.25">
      <c r="A223" s="1">
        <v>45895</v>
      </c>
      <c r="B223" t="s">
        <v>1</v>
      </c>
      <c r="C223" t="str">
        <f>VLOOKUP(Amazon_1P__2[[#This Row],[ASIN]],[1]Table1__2!$C:$E,3,FALSE)</f>
        <v>Resin</v>
      </c>
      <c r="D223" t="s">
        <v>32</v>
      </c>
      <c r="E223" t="str">
        <f>VLOOKUP(Amazon_1P__2[[#This Row],[ASIN]],[2]Sheet1!$B:$E,4,FALSE)</f>
        <v>TK-RESIN-21-150-TWINCOASTER-FBA</v>
      </c>
      <c r="F223">
        <v>0</v>
      </c>
      <c r="G223" s="8">
        <v>0</v>
      </c>
      <c r="H223" s="2" t="s">
        <v>113</v>
      </c>
    </row>
    <row r="224" spans="1:8" x14ac:dyDescent="0.25">
      <c r="A224" s="1">
        <v>45895</v>
      </c>
      <c r="B224" t="s">
        <v>84</v>
      </c>
      <c r="C224" t="str">
        <f>VLOOKUP(Amazon_1P__2[[#This Row],[ASIN]],[1]Table1__2!$C:$E,3,FALSE)</f>
        <v>Resin</v>
      </c>
      <c r="D224" t="s">
        <v>32</v>
      </c>
      <c r="E224" t="str">
        <f>VLOOKUP(Amazon_1P__2[[#This Row],[ASIN]],'[1]Table1 (2)'!$A:$B,2,FALSE)</f>
        <v>TK-RESINKIT-21-750</v>
      </c>
      <c r="F224">
        <v>0</v>
      </c>
      <c r="G224" s="8">
        <v>0</v>
      </c>
      <c r="H224" s="2" t="s">
        <v>113</v>
      </c>
    </row>
    <row r="225" spans="1:8" x14ac:dyDescent="0.25">
      <c r="A225" s="1">
        <v>45895</v>
      </c>
      <c r="B225" t="s">
        <v>79</v>
      </c>
      <c r="C225" t="str">
        <f>VLOOKUP(Amazon_1P__2[[#This Row],[ASIN]],[1]Table1__2!$C:$E,3,FALSE)</f>
        <v>Tape</v>
      </c>
      <c r="D225" t="s">
        <v>32</v>
      </c>
      <c r="E225" t="str">
        <f>VLOOKUP(Amazon_1P__2[[#This Row],[ASIN]],'[1]Table1 (2)'!$A:$B,2,FALSE)</f>
        <v>TK-TAPE-VASTU-GREEN-4INCH-15MTR</v>
      </c>
      <c r="F225">
        <v>0</v>
      </c>
      <c r="G225" s="8">
        <v>0</v>
      </c>
      <c r="H225" s="2" t="s">
        <v>113</v>
      </c>
    </row>
    <row r="226" spans="1:8" x14ac:dyDescent="0.25">
      <c r="A226" s="1">
        <v>45895</v>
      </c>
      <c r="B226" t="s">
        <v>30</v>
      </c>
      <c r="C226" t="e">
        <f>VLOOKUP(Amazon_1P__2[[#This Row],[ASIN]],[1]Table1__2!$C:$E,3,FALSE)</f>
        <v>#N/A</v>
      </c>
      <c r="D226" t="s">
        <v>31</v>
      </c>
      <c r="E226" t="e">
        <f>VLOOKUP(Amazon_1P__2[[#This Row],[ASIN]],'[1]Table1 (2)'!$A:$B,2,FALSE)</f>
        <v>#N/A</v>
      </c>
      <c r="F226">
        <v>0</v>
      </c>
      <c r="G226" s="8">
        <v>-170.34</v>
      </c>
      <c r="H226" s="2" t="s">
        <v>113</v>
      </c>
    </row>
    <row r="227" spans="1:8" x14ac:dyDescent="0.25">
      <c r="A227" s="1">
        <v>45895</v>
      </c>
      <c r="B227" t="s">
        <v>66</v>
      </c>
      <c r="C227" t="str">
        <f>VLOOKUP(Amazon_1P__2[[#This Row],[ASIN]],[1]Table1__2!$C:$E,3,FALSE)</f>
        <v>Tape</v>
      </c>
      <c r="D227" t="s">
        <v>32</v>
      </c>
      <c r="E227" t="str">
        <f>VLOOKUP(Amazon_1P__2[[#This Row],[ASIN]],'[1]Table1 (2)'!$A:$B,2,FALSE)</f>
        <v>TK-TAPE-MASKING-20M-12MM-PACK1</v>
      </c>
      <c r="F227">
        <v>-4</v>
      </c>
      <c r="G227" s="8">
        <v>-186.48</v>
      </c>
      <c r="H227" s="2" t="s">
        <v>113</v>
      </c>
    </row>
    <row r="228" spans="1:8" x14ac:dyDescent="0.25">
      <c r="A228" s="1">
        <v>45895</v>
      </c>
      <c r="B228" t="s">
        <v>2</v>
      </c>
      <c r="C228" t="str">
        <f>VLOOKUP(Amazon_1P__2[[#This Row],[ASIN]],[1]Table1__2!$C:$E,3,FALSE)</f>
        <v>Face Care</v>
      </c>
      <c r="D228" t="s">
        <v>34</v>
      </c>
      <c r="E228" t="str">
        <f>VLOOKUP(Amazon_1P__2[[#This Row],[ASIN]],[2]Sheet1!$B:$E,4,FALSE)</f>
        <v>PRFCFW001-100-P1-FBA</v>
      </c>
      <c r="F228">
        <v>-2</v>
      </c>
      <c r="G228" s="8">
        <v>-337.28</v>
      </c>
      <c r="H228" s="2" t="s">
        <v>113</v>
      </c>
    </row>
    <row r="229" spans="1:8" x14ac:dyDescent="0.25">
      <c r="A229" s="1">
        <v>45896</v>
      </c>
      <c r="B229" t="s">
        <v>26</v>
      </c>
      <c r="C229" t="str">
        <f>VLOOKUP(Amazon_1P__2[[#This Row],[ASIN]],[1]Table1__2!$C:$E,3,FALSE)</f>
        <v>Footwear Organizer</v>
      </c>
      <c r="D229" t="s">
        <v>27</v>
      </c>
      <c r="E229" t="str">
        <f>VLOOKUP(Amazon_1P__2[[#This Row],[ASIN]],'[1]Table1 (2)'!$A:$B,2,FALSE)</f>
        <v>BJFZ0016</v>
      </c>
      <c r="F229">
        <v>85</v>
      </c>
      <c r="G229" s="8">
        <v>118784.1</v>
      </c>
      <c r="H229" s="2" t="s">
        <v>113</v>
      </c>
    </row>
    <row r="230" spans="1:8" x14ac:dyDescent="0.25">
      <c r="A230" s="1">
        <v>45896</v>
      </c>
      <c r="B230" t="s">
        <v>28</v>
      </c>
      <c r="C230" t="str">
        <f>VLOOKUP(Amazon_1P__2[[#This Row],[ASIN]],[1]Table1__2!$C:$E,3,FALSE)</f>
        <v>Footwear Organizer</v>
      </c>
      <c r="D230" t="s">
        <v>27</v>
      </c>
      <c r="E230" t="str">
        <f>VLOOKUP(Amazon_1P__2[[#This Row],[ASIN]],'[1]Table1 (2)'!$A:$B,2,FALSE)</f>
        <v>BJFZ0013</v>
      </c>
      <c r="F230">
        <v>8</v>
      </c>
      <c r="G230" s="8">
        <v>12711.84</v>
      </c>
      <c r="H230" s="2" t="s">
        <v>113</v>
      </c>
    </row>
    <row r="231" spans="1:8" x14ac:dyDescent="0.25">
      <c r="A231" s="1">
        <v>45896</v>
      </c>
      <c r="B231" t="s">
        <v>12</v>
      </c>
      <c r="C231" t="str">
        <f>VLOOKUP(Amazon_1P__2[[#This Row],[ASIN]],[1]Table1__2!$C:$E,3,FALSE)</f>
        <v>Resin</v>
      </c>
      <c r="D231" t="s">
        <v>32</v>
      </c>
      <c r="E231" t="str">
        <f>VLOOKUP(Amazon_1P__2[[#This Row],[ASIN]],[2]Sheet1!$B:$E,4,FALSE)</f>
        <v>TK-RESIN-21-150-ULTIMATE</v>
      </c>
      <c r="F231">
        <v>15</v>
      </c>
      <c r="G231" s="8">
        <v>11275.39</v>
      </c>
      <c r="H231" s="2" t="s">
        <v>113</v>
      </c>
    </row>
    <row r="232" spans="1:8" x14ac:dyDescent="0.25">
      <c r="A232" s="1">
        <v>45896</v>
      </c>
      <c r="B232" t="s">
        <v>33</v>
      </c>
      <c r="C232" t="str">
        <f>VLOOKUP(Amazon_1P__2[[#This Row],[ASIN]],[1]Table1__2!$C:$E,3,FALSE)</f>
        <v>Footwear Organizer</v>
      </c>
      <c r="D232" t="s">
        <v>27</v>
      </c>
      <c r="E232" t="str">
        <f>VLOOKUP(Amazon_1P__2[[#This Row],[ASIN]],'[1]Table1 (2)'!$A:$B,2,FALSE)</f>
        <v>BJFZ0010</v>
      </c>
      <c r="F232">
        <v>5</v>
      </c>
      <c r="G232" s="8">
        <v>10478.799999999999</v>
      </c>
      <c r="H232" s="2" t="s">
        <v>113</v>
      </c>
    </row>
    <row r="233" spans="1:8" x14ac:dyDescent="0.25">
      <c r="A233" s="1">
        <v>45896</v>
      </c>
      <c r="B233" t="s">
        <v>6</v>
      </c>
      <c r="C233" t="str">
        <f>VLOOKUP(Amazon_1P__2[[#This Row],[ASIN]],[1]Table1__2!$C:$E,3,FALSE)</f>
        <v>Wardrobe Organizer</v>
      </c>
      <c r="D233" t="s">
        <v>27</v>
      </c>
      <c r="E233" t="str">
        <f>VLOOKUP(Amazon_1P__2[[#This Row],[ASIN]],[2]Sheet1!$B:$E,4,FALSE)</f>
        <v>BJWZ0010-OXGYSTL-P4-FBA</v>
      </c>
      <c r="F233">
        <v>8</v>
      </c>
      <c r="G233" s="8">
        <v>6149.12</v>
      </c>
      <c r="H233" s="2" t="s">
        <v>113</v>
      </c>
    </row>
    <row r="234" spans="1:8" x14ac:dyDescent="0.25">
      <c r="A234" s="1">
        <v>45896</v>
      </c>
      <c r="B234" t="s">
        <v>72</v>
      </c>
      <c r="C234" t="str">
        <f>VLOOKUP(Amazon_1P__2[[#This Row],[ASIN]],[1]Table1__2!$C:$E,3,FALSE)</f>
        <v>Footwear Organizer</v>
      </c>
      <c r="D234" t="s">
        <v>27</v>
      </c>
      <c r="E234" t="str">
        <f>VLOOKUP(Amazon_1P__2[[#This Row],[ASIN]],'[1]Table1 (2)'!$A:$B,2,FALSE)</f>
        <v>BJFZ0014</v>
      </c>
      <c r="F234">
        <v>4</v>
      </c>
      <c r="G234" s="8">
        <v>5601.71</v>
      </c>
      <c r="H234" s="2" t="s">
        <v>113</v>
      </c>
    </row>
    <row r="235" spans="1:8" x14ac:dyDescent="0.25">
      <c r="A235" s="1">
        <v>45896</v>
      </c>
      <c r="B235" t="s">
        <v>11</v>
      </c>
      <c r="C235" t="str">
        <f>VLOOKUP(Amazon_1P__2[[#This Row],[ASIN]],[1]Table1__2!$C:$E,3,FALSE)</f>
        <v>Wardrobe Organizer</v>
      </c>
      <c r="D235" t="s">
        <v>27</v>
      </c>
      <c r="E235" t="str">
        <f>VLOOKUP(Amazon_1P__2[[#This Row],[ASIN]],[2]Sheet1!$B:$E,4,FALSE)</f>
        <v>BJWZ0033-VBTRJP6-FBA</v>
      </c>
      <c r="F235">
        <v>6</v>
      </c>
      <c r="G235" s="8">
        <v>4571.16</v>
      </c>
      <c r="H235" s="2" t="s">
        <v>113</v>
      </c>
    </row>
    <row r="236" spans="1:8" x14ac:dyDescent="0.25">
      <c r="A236" s="1">
        <v>45896</v>
      </c>
      <c r="B236" t="s">
        <v>40</v>
      </c>
      <c r="C236" t="str">
        <f>VLOOKUP(Amazon_1P__2[[#This Row],[ASIN]],[1]Table1__2!$C:$E,3,FALSE)</f>
        <v>Footwear Organizer</v>
      </c>
      <c r="D236" t="s">
        <v>27</v>
      </c>
      <c r="E236" t="str">
        <f>VLOOKUP(Amazon_1P__2[[#This Row],[ASIN]],'[1]Table1 (2)'!$A:$B,2,FALSE)</f>
        <v>BJFZ0008</v>
      </c>
      <c r="F236">
        <v>2</v>
      </c>
      <c r="G236" s="8">
        <v>4191.5200000000004</v>
      </c>
      <c r="H236" s="2" t="s">
        <v>113</v>
      </c>
    </row>
    <row r="237" spans="1:8" x14ac:dyDescent="0.25">
      <c r="A237" s="1">
        <v>45896</v>
      </c>
      <c r="B237" t="s">
        <v>48</v>
      </c>
      <c r="C237" t="str">
        <f>VLOOKUP(Amazon_1P__2[[#This Row],[ASIN]],[1]Table1__2!$C:$E,3,FALSE)</f>
        <v>Wardrobe Organizer</v>
      </c>
      <c r="D237" t="s">
        <v>27</v>
      </c>
      <c r="E237" t="str">
        <f>VLOOKUP(Amazon_1P__2[[#This Row],[ASIN]],'[1]Table1 (2)'!$A:$B,2,FALSE)</f>
        <v>BJWZ0016-PVTR110</v>
      </c>
      <c r="F237">
        <v>3</v>
      </c>
      <c r="G237" s="8">
        <v>3302.55</v>
      </c>
      <c r="H237" s="2" t="s">
        <v>113</v>
      </c>
    </row>
    <row r="238" spans="1:8" x14ac:dyDescent="0.25">
      <c r="A238" s="1">
        <v>45896</v>
      </c>
      <c r="B238" t="s">
        <v>99</v>
      </c>
      <c r="C238" t="str">
        <f>VLOOKUP(Amazon_1P__2[[#This Row],[ASIN]],[1]Table1__2!$C:$E,3,FALSE)</f>
        <v>Multipurpose Organizer</v>
      </c>
      <c r="D238" t="s">
        <v>27</v>
      </c>
      <c r="E238" t="str">
        <f>VLOOKUP(Amazon_1P__2[[#This Row],[ASIN]],'[1]Table1 (2)'!$A:$B,2,FALSE)</f>
        <v>BJMZ0001-PFBKD06S</v>
      </c>
      <c r="F238">
        <v>1</v>
      </c>
      <c r="G238" s="8">
        <v>2965.25</v>
      </c>
      <c r="H238" s="2" t="s">
        <v>113</v>
      </c>
    </row>
    <row r="239" spans="1:8" x14ac:dyDescent="0.25">
      <c r="A239" s="1">
        <v>45896</v>
      </c>
      <c r="B239" t="s">
        <v>29</v>
      </c>
      <c r="C239" t="str">
        <f>VLOOKUP(Amazon_1P__2[[#This Row],[ASIN]],[1]Table1__2!$C:$E,3,FALSE)</f>
        <v>Footwear Organizer</v>
      </c>
      <c r="D239" t="s">
        <v>27</v>
      </c>
      <c r="E239" t="str">
        <f>VLOOKUP(Amazon_1P__2[[#This Row],[ASIN]],'[1]Table1 (2)'!$A:$B,2,FALSE)</f>
        <v>BJFZ0015</v>
      </c>
      <c r="F239">
        <v>2</v>
      </c>
      <c r="G239" s="8">
        <v>2791.52</v>
      </c>
      <c r="H239" s="2" t="s">
        <v>113</v>
      </c>
    </row>
    <row r="240" spans="1:8" x14ac:dyDescent="0.25">
      <c r="A240" s="1">
        <v>45896</v>
      </c>
      <c r="B240" t="s">
        <v>10</v>
      </c>
      <c r="C240" t="str">
        <f>VLOOKUP(Amazon_1P__2[[#This Row],[ASIN]],[1]Table1__2!$C:$E,3,FALSE)</f>
        <v>Drawer Organizer</v>
      </c>
      <c r="D240" t="s">
        <v>27</v>
      </c>
      <c r="E240" t="str">
        <f>VLOOKUP(Amazon_1P__2[[#This Row],[ASIN]],[2]Sheet1!$B:$E,4,FALSE)</f>
        <v>BJDZ0002-PETR016-FBA</v>
      </c>
      <c r="F240">
        <v>4</v>
      </c>
      <c r="G240" s="8">
        <v>2708.48</v>
      </c>
      <c r="H240" s="2" t="s">
        <v>113</v>
      </c>
    </row>
    <row r="241" spans="1:8" x14ac:dyDescent="0.25">
      <c r="A241" s="1">
        <v>45896</v>
      </c>
      <c r="B241" t="s">
        <v>14</v>
      </c>
      <c r="C241" t="str">
        <f>VLOOKUP(Amazon_1P__2[[#This Row],[ASIN]],[1]Table1__2!$C:$E,3,FALSE)</f>
        <v>Wardrobe Organizer</v>
      </c>
      <c r="D241" t="s">
        <v>27</v>
      </c>
      <c r="E241" t="str">
        <f>VLOOKUP(Amazon_1P__2[[#This Row],[ASIN]],[2]Sheet1!$B:$E,4,FALSE)</f>
        <v>BJWZ0017-POLG24L-FBA</v>
      </c>
      <c r="F241">
        <v>4</v>
      </c>
      <c r="G241" s="8">
        <v>2562.7199999999998</v>
      </c>
      <c r="H241" s="2" t="s">
        <v>113</v>
      </c>
    </row>
    <row r="242" spans="1:8" x14ac:dyDescent="0.25">
      <c r="A242" s="1">
        <v>45896</v>
      </c>
      <c r="B242" t="s">
        <v>90</v>
      </c>
      <c r="C242" t="str">
        <f>VLOOKUP(Amazon_1P__2[[#This Row],[ASIN]],[1]Table1__2!$C:$E,3,FALSE)</f>
        <v>Footwear Organizer</v>
      </c>
      <c r="D242" t="s">
        <v>27</v>
      </c>
      <c r="E242" t="str">
        <f>VLOOKUP(Amazon_1P__2[[#This Row],[ASIN]],'[1]Table1 (2)'!$A:$B,2,FALSE)</f>
        <v>BJFZ0009-PPWT12S-CLOTHRACK</v>
      </c>
      <c r="F242">
        <v>1</v>
      </c>
      <c r="G242" s="8">
        <v>2096.61</v>
      </c>
      <c r="H242" s="2" t="s">
        <v>113</v>
      </c>
    </row>
    <row r="243" spans="1:8" x14ac:dyDescent="0.25">
      <c r="A243" s="1">
        <v>45896</v>
      </c>
      <c r="B243" t="s">
        <v>73</v>
      </c>
      <c r="C243" t="str">
        <f>VLOOKUP(Amazon_1P__2[[#This Row],[ASIN]],[1]Table1__2!$C:$E,3,FALSE)</f>
        <v>Footwear Organizer</v>
      </c>
      <c r="D243" t="s">
        <v>27</v>
      </c>
      <c r="E243" t="str">
        <f>VLOOKUP(Amazon_1P__2[[#This Row],[ASIN]],'[1]Table1 (2)'!$A:$B,2,FALSE)</f>
        <v>BJFZ0009</v>
      </c>
      <c r="F243">
        <v>1</v>
      </c>
      <c r="G243" s="8">
        <v>2095.7600000000002</v>
      </c>
      <c r="H243" s="2" t="s">
        <v>113</v>
      </c>
    </row>
    <row r="244" spans="1:8" x14ac:dyDescent="0.25">
      <c r="A244" s="1">
        <v>45896</v>
      </c>
      <c r="B244" t="s">
        <v>50</v>
      </c>
      <c r="C244" t="str">
        <f>VLOOKUP(Amazon_1P__2[[#This Row],[ASIN]],[1]Table1__2!$C:$E,3,FALSE)</f>
        <v>Drawer Organizer</v>
      </c>
      <c r="D244" t="s">
        <v>27</v>
      </c>
      <c r="E244" t="str">
        <f>VLOOKUP(Amazon_1P__2[[#This Row],[ASIN]],'[1]Table1 (2)'!$A:$B,2,FALSE)</f>
        <v>BJDZ0003-PETR025</v>
      </c>
      <c r="F244">
        <v>2</v>
      </c>
      <c r="G244" s="8">
        <v>1862.72</v>
      </c>
      <c r="H244" s="2" t="s">
        <v>113</v>
      </c>
    </row>
    <row r="245" spans="1:8" x14ac:dyDescent="0.25">
      <c r="A245" s="1">
        <v>45896</v>
      </c>
      <c r="B245" t="s">
        <v>39</v>
      </c>
      <c r="C245" t="str">
        <f>VLOOKUP(Amazon_1P__2[[#This Row],[ASIN]],[1]Table1__2!$C:$E,3,FALSE)</f>
        <v>Wardrobe Organizer</v>
      </c>
      <c r="D245" t="s">
        <v>27</v>
      </c>
      <c r="E245" t="str">
        <f>VLOOKUP(Amazon_1P__2[[#This Row],[ASIN]],[2]Sheet1!$B:$E,4,FALSE)</f>
        <v>BJWZ0003-POLG17G-FBA</v>
      </c>
      <c r="F245">
        <v>5</v>
      </c>
      <c r="G245" s="8">
        <v>1677.95</v>
      </c>
      <c r="H245" s="2" t="s">
        <v>113</v>
      </c>
    </row>
    <row r="246" spans="1:8" x14ac:dyDescent="0.25">
      <c r="A246" s="1">
        <v>45896</v>
      </c>
      <c r="B246" t="s">
        <v>43</v>
      </c>
      <c r="C246" t="str">
        <f>VLOOKUP(Amazon_1P__2[[#This Row],[ASIN]],[1]Table1__2!$C:$E,3,FALSE)</f>
        <v>Footwear Organizer</v>
      </c>
      <c r="D246" t="s">
        <v>27</v>
      </c>
      <c r="E246" t="str">
        <f>VLOOKUP(Amazon_1P__2[[#This Row],[ASIN]],'[1]Table1 (2)'!$A:$B,2,FALSE)</f>
        <v>BJFZ0012</v>
      </c>
      <c r="F246">
        <v>1</v>
      </c>
      <c r="G246" s="8">
        <v>1588.98</v>
      </c>
      <c r="H246" s="2" t="s">
        <v>113</v>
      </c>
    </row>
    <row r="247" spans="1:8" x14ac:dyDescent="0.25">
      <c r="A247" s="1">
        <v>45896</v>
      </c>
      <c r="B247" t="s">
        <v>37</v>
      </c>
      <c r="C247" t="str">
        <f>VLOOKUP(Amazon_1P__2[[#This Row],[ASIN]],[1]Table1__2!$C:$E,3,FALSE)</f>
        <v>Footwear Organizer</v>
      </c>
      <c r="D247" t="s">
        <v>27</v>
      </c>
      <c r="E247" t="str">
        <f>VLOOKUP(Amazon_1P__2[[#This Row],[ASIN]],'[1]Table1 (2)'!$A:$B,2,FALSE)</f>
        <v>BJFZ0011</v>
      </c>
      <c r="F247">
        <v>1</v>
      </c>
      <c r="G247" s="8">
        <v>1588.98</v>
      </c>
      <c r="H247" s="2" t="s">
        <v>113</v>
      </c>
    </row>
    <row r="248" spans="1:8" x14ac:dyDescent="0.25">
      <c r="A248" s="1">
        <v>45896</v>
      </c>
      <c r="B248" t="s">
        <v>45</v>
      </c>
      <c r="C248" t="str">
        <f>VLOOKUP(Amazon_1P__2[[#This Row],[ASIN]],[1]Table1__2!$C:$E,3,FALSE)</f>
        <v>Footwear Organizer</v>
      </c>
      <c r="D248" t="s">
        <v>27</v>
      </c>
      <c r="E248" t="str">
        <f>VLOOKUP(Amazon_1P__2[[#This Row],[ASIN]],'[1]Table1 (2)'!$A:$B,2,FALSE)</f>
        <v>BJFZ0016-PPBT5S-CLOTHRACK</v>
      </c>
      <c r="F248">
        <v>1</v>
      </c>
      <c r="G248" s="8">
        <v>1397.46</v>
      </c>
      <c r="H248" s="2" t="s">
        <v>113</v>
      </c>
    </row>
    <row r="249" spans="1:8" x14ac:dyDescent="0.25">
      <c r="A249" s="1">
        <v>45896</v>
      </c>
      <c r="B249" t="s">
        <v>95</v>
      </c>
      <c r="C249" t="str">
        <f>VLOOKUP(Amazon_1P__2[[#This Row],[ASIN]],[1]Table1__2!$C:$E,3,FALSE)</f>
        <v>Footwear Organizer</v>
      </c>
      <c r="D249" t="s">
        <v>27</v>
      </c>
      <c r="E249" t="str">
        <f>VLOOKUP(Amazon_1P__2[[#This Row],[ASIN]],'[1]Table1 (2)'!$A:$B,2,FALSE)</f>
        <v>BJFZ0014-PPWW5S-CLOTHRACK</v>
      </c>
      <c r="F249">
        <v>1</v>
      </c>
      <c r="G249" s="8">
        <v>1397.46</v>
      </c>
      <c r="H249" s="2" t="s">
        <v>113</v>
      </c>
    </row>
    <row r="250" spans="1:8" x14ac:dyDescent="0.25">
      <c r="A250" s="1">
        <v>45896</v>
      </c>
      <c r="B250" t="s">
        <v>20</v>
      </c>
      <c r="C250" t="str">
        <f>VLOOKUP(Amazon_1P__2[[#This Row],[ASIN]],[1]Table1__2!$C:$E,3,FALSE)</f>
        <v>Wardrobe Organizer</v>
      </c>
      <c r="D250" t="s">
        <v>27</v>
      </c>
      <c r="E250" t="str">
        <f>VLOOKUP(Amazon_1P__2[[#This Row],[ASIN]],[2]Sheet1!$B:$E,4,FALSE)</f>
        <v>BJWZ0035-VBTRC20-FBA</v>
      </c>
      <c r="F250">
        <v>1</v>
      </c>
      <c r="G250" s="8">
        <v>1269.49</v>
      </c>
      <c r="H250" s="2" t="s">
        <v>113</v>
      </c>
    </row>
    <row r="251" spans="1:8" x14ac:dyDescent="0.25">
      <c r="A251" s="1">
        <v>45896</v>
      </c>
      <c r="B251" t="s">
        <v>18</v>
      </c>
      <c r="C251" t="str">
        <f>VLOOKUP(Amazon_1P__2[[#This Row],[ASIN]],[1]Table1__2!$C:$E,3,FALSE)</f>
        <v>Wardrobe Organizer</v>
      </c>
      <c r="D251" t="s">
        <v>27</v>
      </c>
      <c r="E251" t="str">
        <f>VLOOKUP(Amazon_1P__2[[#This Row],[ASIN]],[2]Sheet1!$B:$E,4,FALSE)</f>
        <v>BJWZ0010-OXGYSTL-P6-FBA</v>
      </c>
      <c r="F251">
        <v>1</v>
      </c>
      <c r="G251" s="8">
        <v>1184.75</v>
      </c>
      <c r="H251" s="2" t="s">
        <v>113</v>
      </c>
    </row>
    <row r="252" spans="1:8" x14ac:dyDescent="0.25">
      <c r="A252" s="1">
        <v>45896</v>
      </c>
      <c r="B252" t="s">
        <v>93</v>
      </c>
      <c r="C252" t="str">
        <f>VLOOKUP(Amazon_1P__2[[#This Row],[ASIN]],[1]Table1__2!$C:$E,3,FALSE)</f>
        <v>Resin</v>
      </c>
      <c r="D252" t="s">
        <v>32</v>
      </c>
      <c r="E252" t="str">
        <f>VLOOKUP(Amazon_1P__2[[#This Row],[ASIN]],'[1]Table1 (2)'!$A:$B,2,FALSE)</f>
        <v>TK-RESIN-21-150-JEWELKEYCHAIN-FBA</v>
      </c>
      <c r="F252">
        <v>2</v>
      </c>
      <c r="G252" s="8">
        <v>1184.74</v>
      </c>
      <c r="H252" s="2" t="s">
        <v>113</v>
      </c>
    </row>
    <row r="253" spans="1:8" x14ac:dyDescent="0.25">
      <c r="A253" s="1">
        <v>45896</v>
      </c>
      <c r="B253" t="s">
        <v>35</v>
      </c>
      <c r="C253" t="str">
        <f>VLOOKUP(Amazon_1P__2[[#This Row],[ASIN]],[1]Table1__2!$C:$E,3,FALSE)</f>
        <v>Face Care</v>
      </c>
      <c r="D253" t="s">
        <v>34</v>
      </c>
      <c r="E253" t="str">
        <f>VLOOKUP(Amazon_1P__2[[#This Row],[ASIN]],[2]Sheet1!$B:$E,4,FALSE)</f>
        <v>PRFCLB001-04-P1</v>
      </c>
      <c r="F253">
        <v>7</v>
      </c>
      <c r="G253" s="8">
        <v>1061.83</v>
      </c>
      <c r="H253" s="2" t="s">
        <v>113</v>
      </c>
    </row>
    <row r="254" spans="1:8" x14ac:dyDescent="0.25">
      <c r="A254" s="1">
        <v>45896</v>
      </c>
      <c r="B254" t="s">
        <v>100</v>
      </c>
      <c r="C254" t="str">
        <f>VLOOKUP(Amazon_1P__2[[#This Row],[ASIN]],[1]Table1__2!$C:$E,3,FALSE)</f>
        <v>Wardrobe Organizer</v>
      </c>
      <c r="D254" t="s">
        <v>27</v>
      </c>
      <c r="E254" t="str">
        <f>VLOOKUP(Amazon_1P__2[[#This Row],[ASIN]],'[1]Table1 (2)'!$A:$B,2,FALSE)</f>
        <v>BJWZ0031-POBG8B</v>
      </c>
      <c r="F254">
        <v>2</v>
      </c>
      <c r="G254" s="8">
        <v>1013.56</v>
      </c>
      <c r="H254" s="2" t="s">
        <v>113</v>
      </c>
    </row>
    <row r="255" spans="1:8" x14ac:dyDescent="0.25">
      <c r="A255" s="1">
        <v>45896</v>
      </c>
      <c r="B255" t="s">
        <v>76</v>
      </c>
      <c r="C255" t="str">
        <f>VLOOKUP(Amazon_1P__2[[#This Row],[ASIN]],[1]Table1__2!$C:$E,3,FALSE)</f>
        <v>Wardrobe Organizer</v>
      </c>
      <c r="D255" t="s">
        <v>27</v>
      </c>
      <c r="E255" t="str">
        <f>VLOOKUP(Amazon_1P__2[[#This Row],[ASIN]],'[1]Table1 (2)'!$A:$B,2,FALSE)</f>
        <v>BJWZ0008-PVTRSTL-P1</v>
      </c>
      <c r="F255">
        <v>4</v>
      </c>
      <c r="G255" s="8">
        <v>1010.16</v>
      </c>
      <c r="H255" s="2" t="s">
        <v>113</v>
      </c>
    </row>
    <row r="256" spans="1:8" x14ac:dyDescent="0.25">
      <c r="A256" s="1">
        <v>45896</v>
      </c>
      <c r="B256" t="s">
        <v>41</v>
      </c>
      <c r="C256" t="str">
        <f>VLOOKUP(Amazon_1P__2[[#This Row],[ASIN]],[1]Table1__2!$C:$E,3,FALSE)</f>
        <v>Wardrobe Organizer</v>
      </c>
      <c r="D256" t="s">
        <v>27</v>
      </c>
      <c r="E256" t="str">
        <f>VLOOKUP(Amazon_1P__2[[#This Row],[ASIN]],'[1]Table1 (2)'!$A:$B,2,FALSE)</f>
        <v>BJWZ0018-POLG66L</v>
      </c>
      <c r="F256">
        <v>1</v>
      </c>
      <c r="G256" s="8">
        <v>931.36</v>
      </c>
      <c r="H256" s="2" t="s">
        <v>113</v>
      </c>
    </row>
    <row r="257" spans="1:8" x14ac:dyDescent="0.25">
      <c r="A257" s="1">
        <v>45896</v>
      </c>
      <c r="B257" t="s">
        <v>7</v>
      </c>
      <c r="C257" t="str">
        <f>VLOOKUP(Amazon_1P__2[[#This Row],[ASIN]],[1]Table1__2!$C:$E,3,FALSE)</f>
        <v>Wardrobe Organizer</v>
      </c>
      <c r="D257" t="s">
        <v>27</v>
      </c>
      <c r="E257" t="str">
        <f>VLOOKUP(Amazon_1P__2[[#This Row],[ASIN]],[2]Sheet1!$B:$E,4,FALSE)</f>
        <v>BJWZ0029-VBTRJP3-FBA</v>
      </c>
      <c r="F257">
        <v>2</v>
      </c>
      <c r="G257" s="8">
        <v>928.82</v>
      </c>
      <c r="H257" s="2" t="s">
        <v>113</v>
      </c>
    </row>
    <row r="258" spans="1:8" x14ac:dyDescent="0.25">
      <c r="A258" s="1">
        <v>45896</v>
      </c>
      <c r="B258" t="s">
        <v>42</v>
      </c>
      <c r="C258" t="str">
        <f>VLOOKUP(Amazon_1P__2[[#This Row],[ASIN]],[1]Table1__2!$C:$E,3,FALSE)</f>
        <v>Wardrobe Organizer</v>
      </c>
      <c r="D258" t="s">
        <v>27</v>
      </c>
      <c r="E258" t="str">
        <f>VLOOKUP(Amazon_1P__2[[#This Row],[ASIN]],[2]Sheet1!$B:$E,4,FALSE)</f>
        <v>BJWZ0026-VBTRMLJ-FBA</v>
      </c>
      <c r="F258">
        <v>2</v>
      </c>
      <c r="G258" s="8">
        <v>920.32</v>
      </c>
      <c r="H258" s="2" t="s">
        <v>113</v>
      </c>
    </row>
    <row r="259" spans="1:8" x14ac:dyDescent="0.25">
      <c r="A259" s="1">
        <v>45896</v>
      </c>
      <c r="B259" t="s">
        <v>23</v>
      </c>
      <c r="C259" t="str">
        <f>VLOOKUP(Amazon_1P__2[[#This Row],[ASIN]],[1]Table1__2!$C:$E,3,FALSE)</f>
        <v>Wardrobe Organizer</v>
      </c>
      <c r="D259" t="s">
        <v>27</v>
      </c>
      <c r="E259" t="str">
        <f>VLOOKUP(Amazon_1P__2[[#This Row],[ASIN]],[2]Sheet1!$B:$E,4,FALSE)</f>
        <v>BJWZ0008-PVTRSTL-P4</v>
      </c>
      <c r="F259">
        <v>1</v>
      </c>
      <c r="G259" s="8">
        <v>845.76</v>
      </c>
      <c r="H259" s="2" t="s">
        <v>113</v>
      </c>
    </row>
    <row r="260" spans="1:8" x14ac:dyDescent="0.25">
      <c r="A260" s="1">
        <v>45896</v>
      </c>
      <c r="B260" t="s">
        <v>60</v>
      </c>
      <c r="C260" t="str">
        <f>VLOOKUP(Amazon_1P__2[[#This Row],[ASIN]],[1]Table1__2!$C:$E,3,FALSE)</f>
        <v>Tape</v>
      </c>
      <c r="D260" t="s">
        <v>32</v>
      </c>
      <c r="E260" t="str">
        <f>VLOOKUP(Amazon_1P__2[[#This Row],[ASIN]],'[1]Table1 (2)'!$A:$B,2,FALSE)</f>
        <v>TK-TAPE-ANTISKID-5M-50MM-TRANS-FBA</v>
      </c>
      <c r="F260">
        <v>2</v>
      </c>
      <c r="G260" s="8">
        <v>711.87</v>
      </c>
      <c r="H260" s="2" t="s">
        <v>113</v>
      </c>
    </row>
    <row r="261" spans="1:8" x14ac:dyDescent="0.25">
      <c r="A261" s="1">
        <v>45896</v>
      </c>
      <c r="B261" t="s">
        <v>75</v>
      </c>
      <c r="C261" t="str">
        <f>VLOOKUP(Amazon_1P__2[[#This Row],[ASIN]],[1]Table1__2!$C:$E,3,FALSE)</f>
        <v>Multipurpose Organizer</v>
      </c>
      <c r="D261" t="s">
        <v>27</v>
      </c>
      <c r="E261" t="str">
        <f>VLOOKUP(Amazon_1P__2[[#This Row],[ASIN]],'[1]Table1 (2)'!$A:$B,2,FALSE)</f>
        <v>BJMZ0006-PPBT02S</v>
      </c>
      <c r="F261">
        <v>1</v>
      </c>
      <c r="G261" s="8">
        <v>677.12</v>
      </c>
      <c r="H261" s="2" t="s">
        <v>113</v>
      </c>
    </row>
    <row r="262" spans="1:8" x14ac:dyDescent="0.25">
      <c r="A262" s="1">
        <v>45896</v>
      </c>
      <c r="B262" t="s">
        <v>80</v>
      </c>
      <c r="C262" t="str">
        <f>VLOOKUP(Amazon_1P__2[[#This Row],[ASIN]],[1]Table1__2!$C:$E,3,FALSE)</f>
        <v>Tape</v>
      </c>
      <c r="D262" t="s">
        <v>32</v>
      </c>
      <c r="E262" t="str">
        <f>VLOOKUP(Amazon_1P__2[[#This Row],[ASIN]],'[1]Table1 (2)'!$A:$B,2,FALSE)</f>
        <v>TK-TAPE-ANTISKID-5M-50MM-BLACK-FBA</v>
      </c>
      <c r="F262">
        <v>2</v>
      </c>
      <c r="G262" s="8">
        <v>652.52</v>
      </c>
      <c r="H262" s="2" t="s">
        <v>113</v>
      </c>
    </row>
    <row r="263" spans="1:8" x14ac:dyDescent="0.25">
      <c r="A263" s="1">
        <v>45896</v>
      </c>
      <c r="B263" t="s">
        <v>38</v>
      </c>
      <c r="C263" t="str">
        <f>VLOOKUP(Amazon_1P__2[[#This Row],[ASIN]],[1]Table1__2!$C:$E,3,FALSE)</f>
        <v>Tape</v>
      </c>
      <c r="D263" t="s">
        <v>32</v>
      </c>
      <c r="E263" t="str">
        <f>VLOOKUP(Amazon_1P__2[[#This Row],[ASIN]],'[1]Table1 (2)'!$A:$B,2,FALSE)</f>
        <v>TK-TAPE-TISSUE-50M-1INCH</v>
      </c>
      <c r="F263">
        <v>4</v>
      </c>
      <c r="G263" s="8">
        <v>559.34</v>
      </c>
      <c r="H263" s="2" t="s">
        <v>113</v>
      </c>
    </row>
    <row r="264" spans="1:8" x14ac:dyDescent="0.25">
      <c r="A264" s="1">
        <v>45896</v>
      </c>
      <c r="B264" t="s">
        <v>4</v>
      </c>
      <c r="C264" t="str">
        <f>VLOOKUP(Amazon_1P__2[[#This Row],[ASIN]],[1]Table1__2!$C:$E,3,FALSE)</f>
        <v>Body Care</v>
      </c>
      <c r="D264" t="s">
        <v>34</v>
      </c>
      <c r="E264" t="str">
        <f>VLOOKUP(Amazon_1P__2[[#This Row],[ASIN]],[2]Sheet1!$B:$E,4,FALSE)</f>
        <v>PRBCUR001-40-P1-FBA</v>
      </c>
      <c r="F264">
        <v>3</v>
      </c>
      <c r="G264" s="8">
        <v>505.92</v>
      </c>
      <c r="H264" s="2" t="s">
        <v>113</v>
      </c>
    </row>
    <row r="265" spans="1:8" x14ac:dyDescent="0.25">
      <c r="A265" s="1">
        <v>45896</v>
      </c>
      <c r="B265" t="s">
        <v>8</v>
      </c>
      <c r="C265" t="str">
        <f>VLOOKUP(Amazon_1P__2[[#This Row],[ASIN]],[1]Table1__2!$C:$E,3,FALSE)</f>
        <v>Face Care</v>
      </c>
      <c r="D265" t="s">
        <v>34</v>
      </c>
      <c r="E265" t="str">
        <f>VLOOKUP(Amazon_1P__2[[#This Row],[ASIN]],[2]Sheet1!$B:$E,4,FALSE)</f>
        <v>PRFCFC001-50-P1-FBA</v>
      </c>
      <c r="F265">
        <v>3</v>
      </c>
      <c r="G265" s="8">
        <v>505.92</v>
      </c>
      <c r="H265" s="2" t="s">
        <v>113</v>
      </c>
    </row>
    <row r="266" spans="1:8" x14ac:dyDescent="0.25">
      <c r="A266" s="1">
        <v>45896</v>
      </c>
      <c r="B266" t="s">
        <v>54</v>
      </c>
      <c r="C266" t="str">
        <f>VLOOKUP(Amazon_1P__2[[#This Row],[ASIN]],[1]Table1__2!$C:$E,3,FALSE)</f>
        <v>Resin</v>
      </c>
      <c r="D266" t="s">
        <v>32</v>
      </c>
      <c r="E266" t="str">
        <f>VLOOKUP(Amazon_1P__2[[#This Row],[ASIN]],'[1]Table1 (2)'!$A:$B,2,FALSE)</f>
        <v>TK-RESINKIT-31-400</v>
      </c>
      <c r="F266">
        <v>1</v>
      </c>
      <c r="G266" s="8">
        <v>505.08</v>
      </c>
      <c r="H266" s="2" t="s">
        <v>113</v>
      </c>
    </row>
    <row r="267" spans="1:8" x14ac:dyDescent="0.25">
      <c r="A267" s="1">
        <v>45896</v>
      </c>
      <c r="B267" t="s">
        <v>56</v>
      </c>
      <c r="C267" t="str">
        <f>VLOOKUP(Amazon_1P__2[[#This Row],[ASIN]],[1]Table1__2!$C:$E,3,FALSE)</f>
        <v>Wardrobe Organizer</v>
      </c>
      <c r="D267" t="s">
        <v>27</v>
      </c>
      <c r="E267" t="str">
        <f>VLOOKUP(Amazon_1P__2[[#This Row],[ASIN]],[2]Sheet1!$B:$E,4,FALSE)</f>
        <v>BJWZ0008-PVTRSTL-P2</v>
      </c>
      <c r="F267">
        <v>1</v>
      </c>
      <c r="G267" s="8">
        <v>462.71</v>
      </c>
      <c r="H267" s="2" t="s">
        <v>113</v>
      </c>
    </row>
    <row r="268" spans="1:8" x14ac:dyDescent="0.25">
      <c r="A268" s="1">
        <v>45896</v>
      </c>
      <c r="B268" t="s">
        <v>1</v>
      </c>
      <c r="C268" t="str">
        <f>VLOOKUP(Amazon_1P__2[[#This Row],[ASIN]],[1]Table1__2!$C:$E,3,FALSE)</f>
        <v>Resin</v>
      </c>
      <c r="D268" t="s">
        <v>32</v>
      </c>
      <c r="E268" t="str">
        <f>VLOOKUP(Amazon_1P__2[[#This Row],[ASIN]],[2]Sheet1!$B:$E,4,FALSE)</f>
        <v>TK-RESIN-21-150-TWINCOASTER-FBA</v>
      </c>
      <c r="F268">
        <v>1</v>
      </c>
      <c r="G268" s="8">
        <v>422.03</v>
      </c>
      <c r="H268" s="2" t="s">
        <v>113</v>
      </c>
    </row>
    <row r="269" spans="1:8" x14ac:dyDescent="0.25">
      <c r="A269" s="1">
        <v>45896</v>
      </c>
      <c r="B269" t="s">
        <v>63</v>
      </c>
      <c r="C269" t="str">
        <f>VLOOKUP(Amazon_1P__2[[#This Row],[ASIN]],[1]Table1__2!$C:$E,3,FALSE)</f>
        <v>Tape</v>
      </c>
      <c r="D269" t="s">
        <v>32</v>
      </c>
      <c r="E269" t="str">
        <f>VLOOKUP(Amazon_1P__2[[#This Row],[ASIN]],'[1]Table1 (2)'!$A:$B,2,FALSE)</f>
        <v>TK-TAPE-ALUMINIUM-3M-2INCH</v>
      </c>
      <c r="F269">
        <v>4</v>
      </c>
      <c r="G269" s="8">
        <v>366.12</v>
      </c>
      <c r="H269" s="2" t="s">
        <v>113</v>
      </c>
    </row>
    <row r="270" spans="1:8" x14ac:dyDescent="0.25">
      <c r="A270" s="1">
        <v>45896</v>
      </c>
      <c r="B270" t="s">
        <v>52</v>
      </c>
      <c r="C270" t="str">
        <f>VLOOKUP(Amazon_1P__2[[#This Row],[ASIN]],[1]Table1__2!$C:$E,3,FALSE)</f>
        <v>Tape</v>
      </c>
      <c r="D270" t="s">
        <v>32</v>
      </c>
      <c r="E270" t="str">
        <f>VLOOKUP(Amazon_1P__2[[#This Row],[ASIN]],'[1]Table1 (2)'!$A:$B,2,FALSE)</f>
        <v>TK-TAPE-MASKING-20M-24MM-PACK1</v>
      </c>
      <c r="F270">
        <v>5</v>
      </c>
      <c r="G270" s="8">
        <v>360.19</v>
      </c>
      <c r="H270" s="2" t="s">
        <v>113</v>
      </c>
    </row>
    <row r="271" spans="1:8" x14ac:dyDescent="0.25">
      <c r="A271" s="1">
        <v>45896</v>
      </c>
      <c r="B271" t="s">
        <v>78</v>
      </c>
      <c r="C271" t="str">
        <f>VLOOKUP(Amazon_1P__2[[#This Row],[ASIN]],[1]Table1__2!$C:$E,3,FALSE)</f>
        <v>Resin</v>
      </c>
      <c r="D271" t="s">
        <v>32</v>
      </c>
      <c r="E271" t="str">
        <f>VLOOKUP(Amazon_1P__2[[#This Row],[ASIN]],'[1]Table1 (2)'!$A:$B,2,FALSE)</f>
        <v>TK-RESINKIT-21-150</v>
      </c>
      <c r="F271">
        <v>1</v>
      </c>
      <c r="G271" s="8">
        <v>337.29</v>
      </c>
      <c r="H271" s="2" t="s">
        <v>113</v>
      </c>
    </row>
    <row r="272" spans="1:8" x14ac:dyDescent="0.25">
      <c r="A272" s="1">
        <v>45896</v>
      </c>
      <c r="B272" t="s">
        <v>55</v>
      </c>
      <c r="C272" t="str">
        <f>VLOOKUP(Amazon_1P__2[[#This Row],[ASIN]],[1]Table1__2!$C:$E,3,FALSE)</f>
        <v>Wardrobe Organizer</v>
      </c>
      <c r="D272" t="s">
        <v>27</v>
      </c>
      <c r="E272" t="str">
        <f>VLOOKUP(Amazon_1P__2[[#This Row],[ASIN]],'[1]Table1 (2)'!$A:$B,2,FALSE)</f>
        <v>BJWZ0010-OXGYSTL-P1</v>
      </c>
      <c r="F272">
        <v>1</v>
      </c>
      <c r="G272" s="8">
        <v>252.54</v>
      </c>
      <c r="H272" s="2" t="s">
        <v>113</v>
      </c>
    </row>
    <row r="273" spans="1:8" x14ac:dyDescent="0.25">
      <c r="A273" s="1">
        <v>45896</v>
      </c>
      <c r="B273" t="s">
        <v>51</v>
      </c>
      <c r="C273" t="str">
        <f>VLOOKUP(Amazon_1P__2[[#This Row],[ASIN]],[1]Table1__2!$C:$E,3,FALSE)</f>
        <v>Wardrobe Organizer</v>
      </c>
      <c r="D273" t="s">
        <v>27</v>
      </c>
      <c r="E273" t="str">
        <f>VLOOKUP(Amazon_1P__2[[#This Row],[ASIN]],[2]Sheet1!$B:$E,4,FALSE)</f>
        <v>BJWZ0004-POLG13G-FBA</v>
      </c>
      <c r="F273">
        <v>1</v>
      </c>
      <c r="G273" s="8">
        <v>250.84</v>
      </c>
      <c r="H273" s="2" t="s">
        <v>113</v>
      </c>
    </row>
    <row r="274" spans="1:8" x14ac:dyDescent="0.25">
      <c r="A274" s="1">
        <v>45896</v>
      </c>
      <c r="B274" t="s">
        <v>79</v>
      </c>
      <c r="C274" t="str">
        <f>VLOOKUP(Amazon_1P__2[[#This Row],[ASIN]],[1]Table1__2!$C:$E,3,FALSE)</f>
        <v>Tape</v>
      </c>
      <c r="D274" t="s">
        <v>32</v>
      </c>
      <c r="E274" t="str">
        <f>VLOOKUP(Amazon_1P__2[[#This Row],[ASIN]],'[1]Table1 (2)'!$A:$B,2,FALSE)</f>
        <v>TK-TAPE-VASTU-GREEN-4INCH-15MTR</v>
      </c>
      <c r="F274">
        <v>1</v>
      </c>
      <c r="G274" s="8">
        <v>225.42</v>
      </c>
      <c r="H274" s="2" t="s">
        <v>113</v>
      </c>
    </row>
    <row r="275" spans="1:8" x14ac:dyDescent="0.25">
      <c r="A275" s="1">
        <v>45896</v>
      </c>
      <c r="B275" t="s">
        <v>57</v>
      </c>
      <c r="C275" t="str">
        <f>VLOOKUP(Amazon_1P__2[[#This Row],[ASIN]],[1]Table1__2!$C:$E,3,FALSE)</f>
        <v>Tape</v>
      </c>
      <c r="D275" t="s">
        <v>32</v>
      </c>
      <c r="E275" t="str">
        <f>VLOOKUP(Amazon_1P__2[[#This Row],[ASIN]],'[1]Table1 (2)'!$A:$B,2,FALSE)</f>
        <v>TK-TAPE-ALUMINIUM-5M-2INCH</v>
      </c>
      <c r="F275">
        <v>1</v>
      </c>
      <c r="G275" s="8">
        <v>222.88</v>
      </c>
      <c r="H275" s="2" t="s">
        <v>113</v>
      </c>
    </row>
    <row r="276" spans="1:8" x14ac:dyDescent="0.25">
      <c r="A276" s="1">
        <v>45896</v>
      </c>
      <c r="B276" t="s">
        <v>89</v>
      </c>
      <c r="C276" t="str">
        <f>VLOOKUP(Amazon_1P__2[[#This Row],[ASIN]],[1]Table1__2!$C:$E,3,FALSE)</f>
        <v>Tape</v>
      </c>
      <c r="D276" t="s">
        <v>32</v>
      </c>
      <c r="E276" t="str">
        <f>VLOOKUP(Amazon_1P__2[[#This Row],[ASIN]],'[1]Table1 (2)'!$A:$B,2,FALSE)</f>
        <v>TK-TAPE-VASTU-BLUE-4INCH-15MTR</v>
      </c>
      <c r="F276">
        <v>1</v>
      </c>
      <c r="G276" s="8">
        <v>222.03</v>
      </c>
      <c r="H276" s="2" t="s">
        <v>113</v>
      </c>
    </row>
    <row r="277" spans="1:8" x14ac:dyDescent="0.25">
      <c r="A277" s="1">
        <v>45896</v>
      </c>
      <c r="B277" t="s">
        <v>77</v>
      </c>
      <c r="C277" t="str">
        <f>VLOOKUP(Amazon_1P__2[[#This Row],[ASIN]],[1]Table1__2!$C:$E,3,FALSE)</f>
        <v>Tape</v>
      </c>
      <c r="D277" t="s">
        <v>32</v>
      </c>
      <c r="E277" t="str">
        <f>VLOOKUP(Amazon_1P__2[[#This Row],[ASIN]],'[1]Table1 (2)'!$A:$B,2,FALSE)</f>
        <v>TK-TAPE-DUCT-25M-48MM</v>
      </c>
      <c r="F277">
        <v>1</v>
      </c>
      <c r="G277" s="8">
        <v>212.71</v>
      </c>
      <c r="H277" s="2" t="s">
        <v>113</v>
      </c>
    </row>
    <row r="278" spans="1:8" x14ac:dyDescent="0.25">
      <c r="A278" s="1">
        <v>45896</v>
      </c>
      <c r="B278" t="s">
        <v>3</v>
      </c>
      <c r="C278" t="str">
        <f>VLOOKUP(Amazon_1P__2[[#This Row],[ASIN]],[1]Table1__2!$C:$E,3,FALSE)</f>
        <v>Face Care</v>
      </c>
      <c r="D278" t="s">
        <v>34</v>
      </c>
      <c r="E278" t="str">
        <f>VLOOKUP(Amazon_1P__2[[#This Row],[ASIN]],[2]Sheet1!$B:$E,4,FALSE)</f>
        <v>PRFCSS001-50-P1-FBA</v>
      </c>
      <c r="F278">
        <v>1</v>
      </c>
      <c r="G278" s="8">
        <v>168.64</v>
      </c>
      <c r="H278" s="2" t="s">
        <v>113</v>
      </c>
    </row>
    <row r="279" spans="1:8" x14ac:dyDescent="0.25">
      <c r="A279" s="1">
        <v>45896</v>
      </c>
      <c r="B279" t="s">
        <v>94</v>
      </c>
      <c r="C279" t="str">
        <f>VLOOKUP(Amazon_1P__2[[#This Row],[ASIN]],[1]Table1__2!$C:$E,3,FALSE)</f>
        <v>Tape</v>
      </c>
      <c r="D279" t="s">
        <v>32</v>
      </c>
      <c r="E279" t="str">
        <f>VLOOKUP(Amazon_1P__2[[#This Row],[ASIN]],'[1]Table1 (2)'!$A:$B,2,FALSE)</f>
        <v>TK-TAPE-TISSUE-50M-1INCH-PACK2</v>
      </c>
      <c r="F279">
        <v>1</v>
      </c>
      <c r="G279" s="8">
        <v>165.26</v>
      </c>
      <c r="H279" s="2" t="s">
        <v>113</v>
      </c>
    </row>
    <row r="280" spans="1:8" x14ac:dyDescent="0.25">
      <c r="A280" s="1">
        <v>45896</v>
      </c>
      <c r="B280" t="s">
        <v>66</v>
      </c>
      <c r="C280" t="str">
        <f>VLOOKUP(Amazon_1P__2[[#This Row],[ASIN]],[1]Table1__2!$C:$E,3,FALSE)</f>
        <v>Tape</v>
      </c>
      <c r="D280" t="s">
        <v>32</v>
      </c>
      <c r="E280" t="str">
        <f>VLOOKUP(Amazon_1P__2[[#This Row],[ASIN]],'[1]Table1 (2)'!$A:$B,2,FALSE)</f>
        <v>TK-TAPE-MASKING-20M-12MM-PACK1</v>
      </c>
      <c r="F280">
        <v>4</v>
      </c>
      <c r="G280" s="8">
        <v>159.36000000000001</v>
      </c>
      <c r="H280" s="2" t="s">
        <v>113</v>
      </c>
    </row>
    <row r="281" spans="1:8" x14ac:dyDescent="0.25">
      <c r="A281" s="1">
        <v>45896</v>
      </c>
      <c r="B281" t="s">
        <v>65</v>
      </c>
      <c r="C281" t="str">
        <f>VLOOKUP(Amazon_1P__2[[#This Row],[ASIN]],[1]Table1__2!$C:$E,3,FALSE)</f>
        <v>Tape</v>
      </c>
      <c r="D281" t="s">
        <v>32</v>
      </c>
      <c r="E281" t="str">
        <f>VLOOKUP(Amazon_1P__2[[#This Row],[ASIN]],'[1]Table1 (2)'!$A:$B,2,FALSE)</f>
        <v>TK-TAPE-ELECTRICAL-6M-17MM-PACK6</v>
      </c>
      <c r="F281">
        <v>1</v>
      </c>
      <c r="G281" s="8">
        <v>153.38999999999999</v>
      </c>
      <c r="H281" s="2" t="s">
        <v>113</v>
      </c>
    </row>
    <row r="282" spans="1:8" x14ac:dyDescent="0.25">
      <c r="A282" s="1">
        <v>45896</v>
      </c>
      <c r="B282" t="s">
        <v>86</v>
      </c>
      <c r="C282" t="str">
        <f>VLOOKUP(Amazon_1P__2[[#This Row],[ASIN]],[1]Table1__2!$C:$E,3,FALSE)</f>
        <v>Resin</v>
      </c>
      <c r="D282" t="s">
        <v>32</v>
      </c>
      <c r="E282" t="str">
        <f>VLOOKUP(Amazon_1P__2[[#This Row],[ASIN]],'[1]Table1 (2)'!$A:$B,2,FALSE)</f>
        <v>TK-RESIN-21-150-ALPHABETCHARM-FBA</v>
      </c>
      <c r="F282">
        <v>0</v>
      </c>
      <c r="G282" s="8">
        <v>1.69</v>
      </c>
      <c r="H282" s="2" t="s">
        <v>113</v>
      </c>
    </row>
    <row r="283" spans="1:8" x14ac:dyDescent="0.25">
      <c r="A283" s="1">
        <v>45896</v>
      </c>
      <c r="B283" t="s">
        <v>30</v>
      </c>
      <c r="C283" t="e">
        <f>VLOOKUP(Amazon_1P__2[[#This Row],[ASIN]],[1]Table1__2!$C:$E,3,FALSE)</f>
        <v>#N/A</v>
      </c>
      <c r="D283" t="s">
        <v>31</v>
      </c>
      <c r="E283" t="e">
        <f>VLOOKUP(Amazon_1P__2[[#This Row],[ASIN]],'[1]Table1 (2)'!$A:$B,2,FALSE)</f>
        <v>#N/A</v>
      </c>
      <c r="F283">
        <v>0</v>
      </c>
      <c r="G283" s="8">
        <v>0.02</v>
      </c>
      <c r="H283" s="2" t="s">
        <v>113</v>
      </c>
    </row>
    <row r="284" spans="1:8" x14ac:dyDescent="0.25">
      <c r="A284" s="1">
        <v>45896</v>
      </c>
      <c r="B284" t="s">
        <v>53</v>
      </c>
      <c r="C284" t="e">
        <f>VLOOKUP(Amazon_1P__2[[#This Row],[ASIN]],[1]Table1__2!$C:$E,3,FALSE)</f>
        <v>#N/A</v>
      </c>
      <c r="D284" t="s">
        <v>31</v>
      </c>
      <c r="E284" t="e">
        <f>VLOOKUP(Amazon_1P__2[[#This Row],[ASIN]],'[1]Table1 (2)'!$A:$B,2,FALSE)</f>
        <v>#N/A</v>
      </c>
      <c r="F284">
        <v>0</v>
      </c>
      <c r="G284" s="8">
        <v>0</v>
      </c>
      <c r="H284" s="2" t="s">
        <v>113</v>
      </c>
    </row>
    <row r="285" spans="1:8" x14ac:dyDescent="0.25">
      <c r="A285" s="1">
        <v>45896</v>
      </c>
      <c r="B285" t="s">
        <v>88</v>
      </c>
      <c r="C285" t="str">
        <f>VLOOKUP(Amazon_1P__2[[#This Row],[ASIN]],[1]Table1__2!$C:$E,3,FALSE)</f>
        <v>Wardrobe Organizer</v>
      </c>
      <c r="D285" t="s">
        <v>27</v>
      </c>
      <c r="E285" t="str">
        <f>VLOOKUP(Amazon_1P__2[[#This Row],[ASIN]],'[1]Table1 (2)'!$A:$B,2,FALSE)</f>
        <v>BJWZ0021-PCLG66L</v>
      </c>
      <c r="F285">
        <v>0</v>
      </c>
      <c r="G285" s="8">
        <v>0</v>
      </c>
      <c r="H285" s="2" t="s">
        <v>113</v>
      </c>
    </row>
    <row r="286" spans="1:8" x14ac:dyDescent="0.25">
      <c r="A286" s="1">
        <v>45896</v>
      </c>
      <c r="B286" t="s">
        <v>101</v>
      </c>
      <c r="C286" t="str">
        <f>VLOOKUP(Amazon_1P__2[[#This Row],[ASIN]],[1]Table1__2!$C:$E,3,FALSE)</f>
        <v>Multipurpose Organizer</v>
      </c>
      <c r="D286" t="s">
        <v>27</v>
      </c>
      <c r="E286" t="str">
        <f>VLOOKUP(Amazon_1P__2[[#This Row],[ASIN]],'[1]Table1 (2)'!$A:$B,2,FALSE)</f>
        <v>BJMZ0003-MMWHF06S-BC</v>
      </c>
      <c r="F286">
        <v>0</v>
      </c>
      <c r="G286" s="8">
        <v>0</v>
      </c>
      <c r="H286" s="2" t="s">
        <v>113</v>
      </c>
    </row>
    <row r="287" spans="1:8" x14ac:dyDescent="0.25">
      <c r="A287" s="1">
        <v>45896</v>
      </c>
      <c r="B287" t="s">
        <v>5</v>
      </c>
      <c r="C287" t="str">
        <f>VLOOKUP(Amazon_1P__2[[#This Row],[ASIN]],[1]Table1__2!$C:$E,3,FALSE)</f>
        <v>Wardrobe Organizer</v>
      </c>
      <c r="D287" t="s">
        <v>27</v>
      </c>
      <c r="E287" t="str">
        <f>VLOOKUP(Amazon_1P__2[[#This Row],[ASIN]],[2]Sheet1!$B:$E,4,FALSE)</f>
        <v>BJWZ0028-VBTRLP3-FBA</v>
      </c>
      <c r="F287">
        <v>0</v>
      </c>
      <c r="G287" s="8">
        <v>0</v>
      </c>
      <c r="H287" s="2" t="s">
        <v>113</v>
      </c>
    </row>
    <row r="288" spans="1:8" x14ac:dyDescent="0.25">
      <c r="A288" s="1">
        <v>45896</v>
      </c>
      <c r="B288" t="s">
        <v>47</v>
      </c>
      <c r="C288" t="str">
        <f>VLOOKUP(Amazon_1P__2[[#This Row],[ASIN]],[1]Table1__2!$C:$E,3,FALSE)</f>
        <v>Wardrobe Organizer</v>
      </c>
      <c r="D288" t="s">
        <v>27</v>
      </c>
      <c r="E288" t="str">
        <f>VLOOKUP(Amazon_1P__2[[#This Row],[ASIN]],'[1]Table1 (2)'!$A:$B,2,FALSE)</f>
        <v>BJWZ0012-PCLGSTL-P4</v>
      </c>
      <c r="F288">
        <v>0</v>
      </c>
      <c r="G288" s="8">
        <v>0</v>
      </c>
      <c r="H288" s="2" t="s">
        <v>113</v>
      </c>
    </row>
    <row r="289" spans="1:8" x14ac:dyDescent="0.25">
      <c r="A289" s="1">
        <v>45896</v>
      </c>
      <c r="B289" t="s">
        <v>36</v>
      </c>
      <c r="C289" t="str">
        <f>VLOOKUP(Amazon_1P__2[[#This Row],[ASIN]],[1]Table1__2!$C:$E,3,FALSE)</f>
        <v>Wardrobe Organizer</v>
      </c>
      <c r="D289" t="s">
        <v>27</v>
      </c>
      <c r="E289" t="str">
        <f>VLOOKUP(Amazon_1P__2[[#This Row],[ASIN]],'[1]Table1 (2)'!$A:$B,2,FALSE)</f>
        <v>BJWZ0015-PVTR66L</v>
      </c>
      <c r="F289">
        <v>0</v>
      </c>
      <c r="G289" s="8">
        <v>0</v>
      </c>
      <c r="H289" s="2" t="s">
        <v>113</v>
      </c>
    </row>
    <row r="290" spans="1:8" x14ac:dyDescent="0.25">
      <c r="A290" s="1">
        <v>45896</v>
      </c>
      <c r="B290" t="s">
        <v>69</v>
      </c>
      <c r="C290" t="str">
        <f>VLOOKUP(Amazon_1P__2[[#This Row],[ASIN]],[1]Table1__2!$C:$E,3,FALSE)</f>
        <v>Wardrobe Organizer</v>
      </c>
      <c r="D290" t="s">
        <v>27</v>
      </c>
      <c r="E290" t="str">
        <f>VLOOKUP(Amazon_1P__2[[#This Row],[ASIN]],'[1]Table1 (2)'!$A:$B,2,FALSE)</f>
        <v>BJWZ0008-PVTRSTL-P6</v>
      </c>
      <c r="F290">
        <v>0</v>
      </c>
      <c r="G290" s="8">
        <v>0</v>
      </c>
      <c r="H290" s="2" t="s">
        <v>113</v>
      </c>
    </row>
    <row r="291" spans="1:8" x14ac:dyDescent="0.25">
      <c r="A291" s="1">
        <v>45896</v>
      </c>
      <c r="B291" t="s">
        <v>21</v>
      </c>
      <c r="C291" t="str">
        <f>VLOOKUP(Amazon_1P__2[[#This Row],[ASIN]],[1]Table1__2!$C:$E,3,FALSE)</f>
        <v>Wardrobe Organizer</v>
      </c>
      <c r="D291" t="s">
        <v>27</v>
      </c>
      <c r="E291" t="str">
        <f>VLOOKUP(Amazon_1P__2[[#This Row],[ASIN]],[2]Sheet1!$B:$E,4,FALSE)</f>
        <v>BJWZ0034-VBTRC12-FBA</v>
      </c>
      <c r="F291">
        <v>0</v>
      </c>
      <c r="G291" s="8">
        <v>0</v>
      </c>
      <c r="H291" s="2" t="s">
        <v>113</v>
      </c>
    </row>
    <row r="292" spans="1:8" x14ac:dyDescent="0.25">
      <c r="A292" s="1">
        <v>45896</v>
      </c>
      <c r="B292" t="s">
        <v>81</v>
      </c>
      <c r="C292" t="str">
        <f>VLOOKUP(Amazon_1P__2[[#This Row],[ASIN]],[1]Table1__2!$C:$E,3,FALSE)</f>
        <v>Tape</v>
      </c>
      <c r="D292" t="s">
        <v>32</v>
      </c>
      <c r="E292" t="str">
        <f>VLOOKUP(Amazon_1P__2[[#This Row],[ASIN]],'[1]Table1 (2)'!$A:$B,2,FALSE)</f>
        <v>TK-TAPE-BOPP-TRANS-65M-3INCH-P1</v>
      </c>
      <c r="F292">
        <v>0</v>
      </c>
      <c r="G292" s="8">
        <v>0</v>
      </c>
      <c r="H292" s="2" t="s">
        <v>113</v>
      </c>
    </row>
    <row r="293" spans="1:8" x14ac:dyDescent="0.25">
      <c r="A293" s="1">
        <v>45896</v>
      </c>
      <c r="B293" t="s">
        <v>2</v>
      </c>
      <c r="C293" t="str">
        <f>VLOOKUP(Amazon_1P__2[[#This Row],[ASIN]],[1]Table1__2!$C:$E,3,FALSE)</f>
        <v>Face Care</v>
      </c>
      <c r="D293" t="s">
        <v>34</v>
      </c>
      <c r="E293" t="str">
        <f>VLOOKUP(Amazon_1P__2[[#This Row],[ASIN]],[2]Sheet1!$B:$E,4,FALSE)</f>
        <v>PRFCFW001-100-P1-FBA</v>
      </c>
      <c r="F293">
        <v>0</v>
      </c>
      <c r="G293" s="8">
        <v>0</v>
      </c>
      <c r="H293" s="2" t="s">
        <v>113</v>
      </c>
    </row>
    <row r="294" spans="1:8" x14ac:dyDescent="0.25">
      <c r="A294" s="1">
        <v>45896</v>
      </c>
      <c r="B294" t="s">
        <v>0</v>
      </c>
      <c r="C294" t="str">
        <f>VLOOKUP(Amazon_1P__2[[#This Row],[ASIN]],[1]Table1__2!$C:$E,3,FALSE)</f>
        <v>Body Care</v>
      </c>
      <c r="D294" t="s">
        <v>34</v>
      </c>
      <c r="E294" t="str">
        <f>VLOOKUP(Amazon_1P__2[[#This Row],[ASIN]],[2]Sheet1!$B:$E,4,FALSE)</f>
        <v>PRBCBW001-250-P1-FBA</v>
      </c>
      <c r="F294">
        <v>0</v>
      </c>
      <c r="G294" s="8">
        <v>0</v>
      </c>
      <c r="H294" s="2" t="s">
        <v>113</v>
      </c>
    </row>
    <row r="295" spans="1:8" x14ac:dyDescent="0.25">
      <c r="A295" s="1">
        <v>45896</v>
      </c>
      <c r="B295" t="s">
        <v>87</v>
      </c>
      <c r="C295" t="str">
        <f>VLOOKUP(Amazon_1P__2[[#This Row],[ASIN]],[1]Table1__2!$C:$E,3,FALSE)</f>
        <v>Drawer Organizer</v>
      </c>
      <c r="D295" t="s">
        <v>27</v>
      </c>
      <c r="E295" t="str">
        <f>VLOOKUP(Amazon_1P__2[[#This Row],[ASIN]],'[1]Table1 (2)'!$A:$B,2,FALSE)</f>
        <v>BJDZ0001-PETR007</v>
      </c>
      <c r="F295">
        <v>0</v>
      </c>
      <c r="G295" s="8">
        <v>0</v>
      </c>
      <c r="H295" s="2" t="s">
        <v>113</v>
      </c>
    </row>
    <row r="296" spans="1:8" x14ac:dyDescent="0.25">
      <c r="A296" s="1">
        <v>45896</v>
      </c>
      <c r="B296" t="s">
        <v>46</v>
      </c>
      <c r="C296" t="str">
        <f>VLOOKUP(Amazon_1P__2[[#This Row],[ASIN]],[1]Table1__2!$C:$E,3,FALSE)</f>
        <v>Resin</v>
      </c>
      <c r="D296" t="s">
        <v>32</v>
      </c>
      <c r="E296" t="str">
        <f>VLOOKUP(Amazon_1P__2[[#This Row],[ASIN]],'[1]Table1 (2)'!$A:$B,2,FALSE)</f>
        <v>TK-RESINKIT-21-1500</v>
      </c>
      <c r="F296">
        <v>0</v>
      </c>
      <c r="G296" s="8">
        <v>0</v>
      </c>
      <c r="H296" s="2" t="s">
        <v>113</v>
      </c>
    </row>
    <row r="297" spans="1:8" x14ac:dyDescent="0.25">
      <c r="A297" s="1">
        <v>45896</v>
      </c>
      <c r="B297" t="s">
        <v>15</v>
      </c>
      <c r="C297" t="str">
        <f>VLOOKUP(Amazon_1P__2[[#This Row],[ASIN]],[1]Table1__2!$C:$E,3,FALSE)</f>
        <v>Wardrobe Organizer</v>
      </c>
      <c r="D297" t="s">
        <v>27</v>
      </c>
      <c r="E297" t="str">
        <f>VLOOKUP(Amazon_1P__2[[#This Row],[ASIN]],[2]Sheet1!$B:$E,4,FALSE)</f>
        <v>BJWZ0010-OXGYSTL-P2-FBA</v>
      </c>
      <c r="F297">
        <v>0</v>
      </c>
      <c r="G297" s="8">
        <v>0</v>
      </c>
      <c r="H297" s="2" t="s">
        <v>113</v>
      </c>
    </row>
    <row r="298" spans="1:8" x14ac:dyDescent="0.25">
      <c r="A298" s="1">
        <v>45896</v>
      </c>
      <c r="B298" t="s">
        <v>9</v>
      </c>
      <c r="C298" t="str">
        <f>VLOOKUP(Amazon_1P__2[[#This Row],[ASIN]],[1]Table1__2!$C:$E,3,FALSE)</f>
        <v>Footwear Organizer</v>
      </c>
      <c r="D298" t="s">
        <v>27</v>
      </c>
      <c r="E298" t="str">
        <f>VLOOKUP(Amazon_1P__2[[#This Row],[ASIN]],[2]Sheet1!$B:$E,4,FALSE)</f>
        <v>BJFZ0010-PPBT12S-CLOTHRACK</v>
      </c>
      <c r="F298">
        <v>0</v>
      </c>
      <c r="G298" s="8">
        <v>0</v>
      </c>
      <c r="H298" s="2" t="s">
        <v>113</v>
      </c>
    </row>
    <row r="299" spans="1:8" x14ac:dyDescent="0.25">
      <c r="A299" s="1">
        <v>45896</v>
      </c>
      <c r="B299" t="s">
        <v>61</v>
      </c>
      <c r="C299" t="e">
        <f>VLOOKUP(Amazon_1P__2[[#This Row],[ASIN]],[1]Table1__2!$C:$E,3,FALSE)</f>
        <v>#N/A</v>
      </c>
      <c r="D299" t="s">
        <v>31</v>
      </c>
      <c r="E299" t="e">
        <f>VLOOKUP(Amazon_1P__2[[#This Row],[ASIN]],'[1]Table1 (2)'!$A:$B,2,FALSE)</f>
        <v>#N/A</v>
      </c>
      <c r="F299">
        <v>0</v>
      </c>
      <c r="G299" s="8">
        <v>0</v>
      </c>
      <c r="H299" s="2" t="s">
        <v>113</v>
      </c>
    </row>
    <row r="300" spans="1:8" x14ac:dyDescent="0.25">
      <c r="A300" s="1">
        <v>45896</v>
      </c>
      <c r="B300" t="s">
        <v>82</v>
      </c>
      <c r="C300" t="str">
        <f>VLOOKUP(Amazon_1P__2[[#This Row],[ASIN]],[1]Table1__2!$C:$E,3,FALSE)</f>
        <v>Multipurpose Organizer</v>
      </c>
      <c r="D300" t="s">
        <v>27</v>
      </c>
      <c r="E300" t="str">
        <f>VLOOKUP(Amazon_1P__2[[#This Row],[ASIN]],'[1]Table1 (2)'!$A:$B,2,FALSE)</f>
        <v>BJMZ00011-PPWT08S</v>
      </c>
      <c r="F300">
        <v>0</v>
      </c>
      <c r="G300" s="8">
        <v>0</v>
      </c>
      <c r="H300" s="2" t="s">
        <v>113</v>
      </c>
    </row>
    <row r="301" spans="1:8" x14ac:dyDescent="0.25">
      <c r="A301" s="1">
        <v>45896</v>
      </c>
      <c r="B301" t="s">
        <v>102</v>
      </c>
      <c r="C301" t="str">
        <f>VLOOKUP(Amazon_1P__2[[#This Row],[ASIN]],[1]Table1__2!$C:$E,3,FALSE)</f>
        <v>Copper Bottle</v>
      </c>
      <c r="D301" t="s">
        <v>103</v>
      </c>
      <c r="E301" t="str">
        <f>VLOOKUP(Amazon_1P__2[[#This Row],[ASIN]],'[1]Table1 (2)'!$A:$B,2,FALSE)</f>
        <v>EB-FUNKY-1L V1</v>
      </c>
      <c r="F301">
        <v>0</v>
      </c>
      <c r="G301" s="8">
        <v>0</v>
      </c>
      <c r="H301" s="2" t="s">
        <v>113</v>
      </c>
    </row>
    <row r="302" spans="1:8" x14ac:dyDescent="0.25">
      <c r="A302" s="1">
        <v>45896</v>
      </c>
      <c r="B302" t="s">
        <v>19</v>
      </c>
      <c r="C302" t="str">
        <f>VLOOKUP(Amazon_1P__2[[#This Row],[ASIN]],[1]Table1__2!$C:$E,3,FALSE)</f>
        <v>Wardrobe Organizer</v>
      </c>
      <c r="D302" t="s">
        <v>27</v>
      </c>
      <c r="E302" t="str">
        <f>VLOOKUP(Amazon_1P__2[[#This Row],[ASIN]],[2]Sheet1!$B:$E,4,FALSE)</f>
        <v>BJWZ0027-VBTRMP3-FBA</v>
      </c>
      <c r="F302">
        <v>0</v>
      </c>
      <c r="G302" s="8">
        <v>0</v>
      </c>
      <c r="H302" s="2" t="s">
        <v>113</v>
      </c>
    </row>
    <row r="303" spans="1:8" x14ac:dyDescent="0.25">
      <c r="A303" s="1">
        <v>45896</v>
      </c>
      <c r="B303" t="s">
        <v>83</v>
      </c>
      <c r="C303" t="str">
        <f>VLOOKUP(Amazon_1P__2[[#This Row],[ASIN]],[1]Table1__2!$C:$E,3,FALSE)</f>
        <v>Wardrobe Organizer</v>
      </c>
      <c r="D303" t="s">
        <v>27</v>
      </c>
      <c r="E303" t="str">
        <f>VLOOKUP(Amazon_1P__2[[#This Row],[ASIN]],'[1]Table1 (2)'!$A:$B,2,FALSE)</f>
        <v>BJWZ0012-PCLGSTL-P6</v>
      </c>
      <c r="F303">
        <v>0</v>
      </c>
      <c r="G303" s="8">
        <v>0</v>
      </c>
      <c r="H303" s="2" t="s">
        <v>113</v>
      </c>
    </row>
    <row r="304" spans="1:8" x14ac:dyDescent="0.25">
      <c r="A304" s="1">
        <v>45896</v>
      </c>
      <c r="B304" t="s">
        <v>64</v>
      </c>
      <c r="C304" t="str">
        <f>VLOOKUP(Amazon_1P__2[[#This Row],[ASIN]],[1]Table1__2!$C:$E,3,FALSE)</f>
        <v>Tape</v>
      </c>
      <c r="D304" t="s">
        <v>32</v>
      </c>
      <c r="E304" t="str">
        <f>VLOOKUP(Amazon_1P__2[[#This Row],[ASIN]],'[1]Table1 (2)'!$A:$B,2,FALSE)</f>
        <v>TK-TAPE-KRAFTPAPER-50M-2INCH</v>
      </c>
      <c r="F304">
        <v>0</v>
      </c>
      <c r="G304" s="8">
        <v>0</v>
      </c>
      <c r="H304" s="2" t="s">
        <v>113</v>
      </c>
    </row>
    <row r="305" spans="1:8" x14ac:dyDescent="0.25">
      <c r="A305" s="1">
        <v>45896</v>
      </c>
      <c r="B305" t="s">
        <v>104</v>
      </c>
      <c r="C305" t="str">
        <f>VLOOKUP(Amazon_1P__2[[#This Row],[ASIN]],[1]Table1__2!$C:$E,3,FALSE)</f>
        <v>Multipurpose Organizer</v>
      </c>
      <c r="D305" t="s">
        <v>27</v>
      </c>
      <c r="E305" t="str">
        <f>VLOOKUP(Amazon_1P__2[[#This Row],[ASIN]],'[1]Table1 (2)'!$A:$B,2,FALSE)</f>
        <v>BJMZ0003-MMWHF06S-PS</v>
      </c>
      <c r="F305">
        <v>0</v>
      </c>
      <c r="G305" s="8">
        <v>0</v>
      </c>
      <c r="H305" s="2" t="s">
        <v>113</v>
      </c>
    </row>
    <row r="306" spans="1:8" x14ac:dyDescent="0.25">
      <c r="A306" s="1">
        <v>45896</v>
      </c>
      <c r="B306" t="s">
        <v>105</v>
      </c>
      <c r="C306" t="str">
        <f>VLOOKUP(Amazon_1P__2[[#This Row],[ASIN]],[1]Table1__2!$C:$E,3,FALSE)</f>
        <v>Resin</v>
      </c>
      <c r="D306" t="s">
        <v>32</v>
      </c>
      <c r="E306" t="str">
        <f>VLOOKUP(Amazon_1P__2[[#This Row],[ASIN]],[2]Sheet1!$B:$E,4,FALSE)</f>
        <v>TK-RESINKIT-31-1200-FBA</v>
      </c>
      <c r="F306">
        <v>0</v>
      </c>
      <c r="G306" s="8">
        <v>0</v>
      </c>
      <c r="H306" s="2" t="s">
        <v>113</v>
      </c>
    </row>
    <row r="307" spans="1:8" x14ac:dyDescent="0.25">
      <c r="A307" s="1">
        <v>45897</v>
      </c>
      <c r="B307" t="s">
        <v>26</v>
      </c>
      <c r="C307" t="str">
        <f>VLOOKUP(Amazon_1P__2[[#This Row],[ASIN]],[1]Table1__2!$C:$E,3,FALSE)</f>
        <v>Footwear Organizer</v>
      </c>
      <c r="D307" t="s">
        <v>27</v>
      </c>
      <c r="E307" t="str">
        <f>VLOOKUP(Amazon_1P__2[[#This Row],[ASIN]],'[1]Table1 (2)'!$A:$B,2,FALSE)</f>
        <v>BJFZ0016</v>
      </c>
      <c r="F307">
        <v>79</v>
      </c>
      <c r="G307" s="8">
        <v>110399.34</v>
      </c>
      <c r="H307" s="2" t="s">
        <v>113</v>
      </c>
    </row>
    <row r="308" spans="1:8" x14ac:dyDescent="0.25">
      <c r="A308" s="1">
        <v>45897</v>
      </c>
      <c r="B308" t="s">
        <v>30</v>
      </c>
      <c r="C308" t="e">
        <f>VLOOKUP(Amazon_1P__2[[#This Row],[ASIN]],[1]Table1__2!$C:$E,3,FALSE)</f>
        <v>#N/A</v>
      </c>
      <c r="D308" t="s">
        <v>31</v>
      </c>
      <c r="E308" t="e">
        <f>VLOOKUP(Amazon_1P__2[[#This Row],[ASIN]],'[1]Table1 (2)'!$A:$B,2,FALSE)</f>
        <v>#N/A</v>
      </c>
      <c r="F308">
        <v>6</v>
      </c>
      <c r="G308" s="8">
        <v>29195.75</v>
      </c>
      <c r="H308" s="2" t="s">
        <v>113</v>
      </c>
    </row>
    <row r="309" spans="1:8" x14ac:dyDescent="0.25">
      <c r="A309" s="1">
        <v>45897</v>
      </c>
      <c r="B309" t="s">
        <v>33</v>
      </c>
      <c r="C309" t="str">
        <f>VLOOKUP(Amazon_1P__2[[#This Row],[ASIN]],[1]Table1__2!$C:$E,3,FALSE)</f>
        <v>Footwear Organizer</v>
      </c>
      <c r="D309" t="s">
        <v>27</v>
      </c>
      <c r="E309" t="str">
        <f>VLOOKUP(Amazon_1P__2[[#This Row],[ASIN]],'[1]Table1 (2)'!$A:$B,2,FALSE)</f>
        <v>BJFZ0010</v>
      </c>
      <c r="F309">
        <v>12</v>
      </c>
      <c r="G309" s="8">
        <v>25149.119999999999</v>
      </c>
      <c r="H309" s="2" t="s">
        <v>113</v>
      </c>
    </row>
    <row r="310" spans="1:8" x14ac:dyDescent="0.25">
      <c r="A310" s="1">
        <v>45897</v>
      </c>
      <c r="B310" t="s">
        <v>106</v>
      </c>
      <c r="C310" t="str">
        <f>VLOOKUP(Amazon_1P__2[[#This Row],[ASIN]],[1]Table1__2!$C:$E,3,FALSE)</f>
        <v>Multipurpose Organizer</v>
      </c>
      <c r="D310" t="s">
        <v>27</v>
      </c>
      <c r="E310" t="str">
        <f>VLOOKUP(Amazon_1P__2[[#This Row],[ASIN]],'[1]Table1 (2)'!$A:$B,2,FALSE)</f>
        <v>BJMZ0002-MMBKF06S-BC</v>
      </c>
      <c r="F310">
        <v>7</v>
      </c>
      <c r="G310" s="8">
        <v>11858.48</v>
      </c>
      <c r="H310" s="2" t="s">
        <v>113</v>
      </c>
    </row>
    <row r="311" spans="1:8" x14ac:dyDescent="0.25">
      <c r="A311" s="1">
        <v>45897</v>
      </c>
      <c r="B311" t="s">
        <v>28</v>
      </c>
      <c r="C311" t="str">
        <f>VLOOKUP(Amazon_1P__2[[#This Row],[ASIN]],[1]Table1__2!$C:$E,3,FALSE)</f>
        <v>Footwear Organizer</v>
      </c>
      <c r="D311" t="s">
        <v>27</v>
      </c>
      <c r="E311" t="str">
        <f>VLOOKUP(Amazon_1P__2[[#This Row],[ASIN]],'[1]Table1 (2)'!$A:$B,2,FALSE)</f>
        <v>BJFZ0013</v>
      </c>
      <c r="F311">
        <v>7</v>
      </c>
      <c r="G311" s="8">
        <v>11122.86</v>
      </c>
      <c r="H311" s="2" t="s">
        <v>113</v>
      </c>
    </row>
    <row r="312" spans="1:8" x14ac:dyDescent="0.25">
      <c r="A312" s="1">
        <v>45897</v>
      </c>
      <c r="B312" t="s">
        <v>40</v>
      </c>
      <c r="C312" t="str">
        <f>VLOOKUP(Amazon_1P__2[[#This Row],[ASIN]],[1]Table1__2!$C:$E,3,FALSE)</f>
        <v>Footwear Organizer</v>
      </c>
      <c r="D312" t="s">
        <v>27</v>
      </c>
      <c r="E312" t="str">
        <f>VLOOKUP(Amazon_1P__2[[#This Row],[ASIN]],'[1]Table1 (2)'!$A:$B,2,FALSE)</f>
        <v>BJFZ0008</v>
      </c>
      <c r="F312">
        <v>3</v>
      </c>
      <c r="G312" s="8">
        <v>6287.28</v>
      </c>
      <c r="H312" s="2" t="s">
        <v>113</v>
      </c>
    </row>
    <row r="313" spans="1:8" x14ac:dyDescent="0.25">
      <c r="A313" s="1">
        <v>45897</v>
      </c>
      <c r="B313" t="s">
        <v>12</v>
      </c>
      <c r="C313" t="str">
        <f>VLOOKUP(Amazon_1P__2[[#This Row],[ASIN]],[1]Table1__2!$C:$E,3,FALSE)</f>
        <v>Resin</v>
      </c>
      <c r="D313" t="s">
        <v>32</v>
      </c>
      <c r="E313" t="str">
        <f>VLOOKUP(Amazon_1P__2[[#This Row],[ASIN]],[2]Sheet1!$B:$E,4,FALSE)</f>
        <v>TK-RESIN-21-150-ULTIMATE</v>
      </c>
      <c r="F313">
        <v>8</v>
      </c>
      <c r="G313" s="8">
        <v>6013.58</v>
      </c>
      <c r="H313" s="2" t="s">
        <v>113</v>
      </c>
    </row>
    <row r="314" spans="1:8" x14ac:dyDescent="0.25">
      <c r="A314" s="1">
        <v>45897</v>
      </c>
      <c r="B314" t="s">
        <v>6</v>
      </c>
      <c r="C314" t="str">
        <f>VLOOKUP(Amazon_1P__2[[#This Row],[ASIN]],[1]Table1__2!$C:$E,3,FALSE)</f>
        <v>Wardrobe Organizer</v>
      </c>
      <c r="D314" t="s">
        <v>27</v>
      </c>
      <c r="E314" t="str">
        <f>VLOOKUP(Amazon_1P__2[[#This Row],[ASIN]],[2]Sheet1!$B:$E,4,FALSE)</f>
        <v>BJWZ0010-OXGYSTL-P4-FBA</v>
      </c>
      <c r="F314">
        <v>7</v>
      </c>
      <c r="G314" s="8">
        <v>5380.48</v>
      </c>
      <c r="H314" s="2" t="s">
        <v>113</v>
      </c>
    </row>
    <row r="315" spans="1:8" x14ac:dyDescent="0.25">
      <c r="A315" s="1">
        <v>45897</v>
      </c>
      <c r="B315" t="s">
        <v>29</v>
      </c>
      <c r="C315" t="str">
        <f>VLOOKUP(Amazon_1P__2[[#This Row],[ASIN]],[1]Table1__2!$C:$E,3,FALSE)</f>
        <v>Footwear Organizer</v>
      </c>
      <c r="D315" t="s">
        <v>27</v>
      </c>
      <c r="E315" t="str">
        <f>VLOOKUP(Amazon_1P__2[[#This Row],[ASIN]],'[1]Table1 (2)'!$A:$B,2,FALSE)</f>
        <v>BJFZ0015</v>
      </c>
      <c r="F315">
        <v>3</v>
      </c>
      <c r="G315" s="8">
        <v>4187.28</v>
      </c>
      <c r="H315" s="2" t="s">
        <v>113</v>
      </c>
    </row>
    <row r="316" spans="1:8" x14ac:dyDescent="0.25">
      <c r="A316" s="1">
        <v>45897</v>
      </c>
      <c r="B316" t="s">
        <v>50</v>
      </c>
      <c r="C316" t="str">
        <f>VLOOKUP(Amazon_1P__2[[#This Row],[ASIN]],[1]Table1__2!$C:$E,3,FALSE)</f>
        <v>Drawer Organizer</v>
      </c>
      <c r="D316" t="s">
        <v>27</v>
      </c>
      <c r="E316" t="str">
        <f>VLOOKUP(Amazon_1P__2[[#This Row],[ASIN]],'[1]Table1 (2)'!$A:$B,2,FALSE)</f>
        <v>BJDZ0003-PETR025</v>
      </c>
      <c r="F316">
        <v>4</v>
      </c>
      <c r="G316" s="8">
        <v>3725.44</v>
      </c>
      <c r="H316" s="2" t="s">
        <v>113</v>
      </c>
    </row>
    <row r="317" spans="1:8" x14ac:dyDescent="0.25">
      <c r="A317" s="1">
        <v>45897</v>
      </c>
      <c r="B317" t="s">
        <v>37</v>
      </c>
      <c r="C317" t="str">
        <f>VLOOKUP(Amazon_1P__2[[#This Row],[ASIN]],[1]Table1__2!$C:$E,3,FALSE)</f>
        <v>Footwear Organizer</v>
      </c>
      <c r="D317" t="s">
        <v>27</v>
      </c>
      <c r="E317" t="str">
        <f>VLOOKUP(Amazon_1P__2[[#This Row],[ASIN]],'[1]Table1 (2)'!$A:$B,2,FALSE)</f>
        <v>BJFZ0011</v>
      </c>
      <c r="F317">
        <v>2</v>
      </c>
      <c r="G317" s="8">
        <v>3177.96</v>
      </c>
      <c r="H317" s="2" t="s">
        <v>113</v>
      </c>
    </row>
    <row r="318" spans="1:8" x14ac:dyDescent="0.25">
      <c r="A318" s="1">
        <v>45897</v>
      </c>
      <c r="B318" t="s">
        <v>45</v>
      </c>
      <c r="C318" t="str">
        <f>VLOOKUP(Amazon_1P__2[[#This Row],[ASIN]],[1]Table1__2!$C:$E,3,FALSE)</f>
        <v>Footwear Organizer</v>
      </c>
      <c r="D318" t="s">
        <v>27</v>
      </c>
      <c r="E318" t="str">
        <f>VLOOKUP(Amazon_1P__2[[#This Row],[ASIN]],'[1]Table1 (2)'!$A:$B,2,FALSE)</f>
        <v>BJFZ0016-PPBT5S-CLOTHRACK</v>
      </c>
      <c r="F318">
        <v>2</v>
      </c>
      <c r="G318" s="8">
        <v>2794.92</v>
      </c>
      <c r="H318" s="2" t="s">
        <v>113</v>
      </c>
    </row>
    <row r="319" spans="1:8" x14ac:dyDescent="0.25">
      <c r="A319" s="1">
        <v>45897</v>
      </c>
      <c r="B319" t="s">
        <v>41</v>
      </c>
      <c r="C319" t="str">
        <f>VLOOKUP(Amazon_1P__2[[#This Row],[ASIN]],[1]Table1__2!$C:$E,3,FALSE)</f>
        <v>Wardrobe Organizer</v>
      </c>
      <c r="D319" t="s">
        <v>27</v>
      </c>
      <c r="E319" t="str">
        <f>VLOOKUP(Amazon_1P__2[[#This Row],[ASIN]],'[1]Table1 (2)'!$A:$B,2,FALSE)</f>
        <v>BJWZ0018-POLG66L</v>
      </c>
      <c r="F319">
        <v>3</v>
      </c>
      <c r="G319" s="8">
        <v>2794.08</v>
      </c>
      <c r="H319" s="2" t="s">
        <v>113</v>
      </c>
    </row>
    <row r="320" spans="1:8" x14ac:dyDescent="0.25">
      <c r="A320" s="1">
        <v>45897</v>
      </c>
      <c r="B320" t="s">
        <v>18</v>
      </c>
      <c r="C320" t="str">
        <f>VLOOKUP(Amazon_1P__2[[#This Row],[ASIN]],[1]Table1__2!$C:$E,3,FALSE)</f>
        <v>Wardrobe Organizer</v>
      </c>
      <c r="D320" t="s">
        <v>27</v>
      </c>
      <c r="E320" t="str">
        <f>VLOOKUP(Amazon_1P__2[[#This Row],[ASIN]],[2]Sheet1!$B:$E,4,FALSE)</f>
        <v>BJWZ0010-OXGYSTL-P6-FBA</v>
      </c>
      <c r="F320">
        <v>2</v>
      </c>
      <c r="G320" s="8">
        <v>2369.48</v>
      </c>
      <c r="H320" s="2" t="s">
        <v>113</v>
      </c>
    </row>
    <row r="321" spans="1:8" x14ac:dyDescent="0.25">
      <c r="A321" s="1">
        <v>45897</v>
      </c>
      <c r="B321" t="s">
        <v>7</v>
      </c>
      <c r="C321" t="str">
        <f>VLOOKUP(Amazon_1P__2[[#This Row],[ASIN]],[1]Table1__2!$C:$E,3,FALSE)</f>
        <v>Wardrobe Organizer</v>
      </c>
      <c r="D321" t="s">
        <v>27</v>
      </c>
      <c r="E321" t="str">
        <f>VLOOKUP(Amazon_1P__2[[#This Row],[ASIN]],[2]Sheet1!$B:$E,4,FALSE)</f>
        <v>BJWZ0029-VBTRJP3-FBA</v>
      </c>
      <c r="F321">
        <v>5</v>
      </c>
      <c r="G321" s="8">
        <v>2322.0500000000002</v>
      </c>
      <c r="H321" s="2" t="s">
        <v>113</v>
      </c>
    </row>
    <row r="322" spans="1:8" x14ac:dyDescent="0.25">
      <c r="A322" s="1">
        <v>45897</v>
      </c>
      <c r="B322" t="s">
        <v>11</v>
      </c>
      <c r="C322" t="str">
        <f>VLOOKUP(Amazon_1P__2[[#This Row],[ASIN]],[1]Table1__2!$C:$E,3,FALSE)</f>
        <v>Wardrobe Organizer</v>
      </c>
      <c r="D322" t="s">
        <v>27</v>
      </c>
      <c r="E322" t="str">
        <f>VLOOKUP(Amazon_1P__2[[#This Row],[ASIN]],[2]Sheet1!$B:$E,4,FALSE)</f>
        <v>BJWZ0033-VBTRJP6-FBA</v>
      </c>
      <c r="F322">
        <v>3</v>
      </c>
      <c r="G322" s="8">
        <v>2285.58</v>
      </c>
      <c r="H322" s="2" t="s">
        <v>113</v>
      </c>
    </row>
    <row r="323" spans="1:8" x14ac:dyDescent="0.25">
      <c r="A323" s="1">
        <v>45897</v>
      </c>
      <c r="B323" t="s">
        <v>96</v>
      </c>
      <c r="C323" t="str">
        <f>VLOOKUP(Amazon_1P__2[[#This Row],[ASIN]],[1]Table1__2!$C:$E,3,FALSE)</f>
        <v>Footwear Organizer</v>
      </c>
      <c r="D323" t="s">
        <v>27</v>
      </c>
      <c r="E323" t="str">
        <f>VLOOKUP(Amazon_1P__2[[#This Row],[ASIN]],'[1]Table1 (2)'!$A:$B,2,FALSE)</f>
        <v>BJFZ0008-PPWW12S-CLOTHRACK</v>
      </c>
      <c r="F323">
        <v>1</v>
      </c>
      <c r="G323" s="8">
        <v>2095.7600000000002</v>
      </c>
      <c r="H323" s="2" t="s">
        <v>113</v>
      </c>
    </row>
    <row r="324" spans="1:8" x14ac:dyDescent="0.25">
      <c r="A324" s="1">
        <v>45897</v>
      </c>
      <c r="B324" t="s">
        <v>73</v>
      </c>
      <c r="C324" t="str">
        <f>VLOOKUP(Amazon_1P__2[[#This Row],[ASIN]],[1]Table1__2!$C:$E,3,FALSE)</f>
        <v>Footwear Organizer</v>
      </c>
      <c r="D324" t="s">
        <v>27</v>
      </c>
      <c r="E324" t="str">
        <f>VLOOKUP(Amazon_1P__2[[#This Row],[ASIN]],'[1]Table1 (2)'!$A:$B,2,FALSE)</f>
        <v>BJFZ0009</v>
      </c>
      <c r="F324">
        <v>1</v>
      </c>
      <c r="G324" s="8">
        <v>2095.7600000000002</v>
      </c>
      <c r="H324" s="2" t="s">
        <v>113</v>
      </c>
    </row>
    <row r="325" spans="1:8" x14ac:dyDescent="0.25">
      <c r="A325" s="1">
        <v>45897</v>
      </c>
      <c r="B325" t="s">
        <v>10</v>
      </c>
      <c r="C325" t="str">
        <f>VLOOKUP(Amazon_1P__2[[#This Row],[ASIN]],[1]Table1__2!$C:$E,3,FALSE)</f>
        <v>Drawer Organizer</v>
      </c>
      <c r="D325" t="s">
        <v>27</v>
      </c>
      <c r="E325" t="str">
        <f>VLOOKUP(Amazon_1P__2[[#This Row],[ASIN]],[2]Sheet1!$B:$E,4,FALSE)</f>
        <v>BJDZ0002-PETR016-FBA</v>
      </c>
      <c r="F325">
        <v>3</v>
      </c>
      <c r="G325" s="8">
        <v>2031.36</v>
      </c>
      <c r="H325" s="2" t="s">
        <v>113</v>
      </c>
    </row>
    <row r="326" spans="1:8" x14ac:dyDescent="0.25">
      <c r="A326" s="1">
        <v>45897</v>
      </c>
      <c r="B326" t="s">
        <v>14</v>
      </c>
      <c r="C326" t="str">
        <f>VLOOKUP(Amazon_1P__2[[#This Row],[ASIN]],[1]Table1__2!$C:$E,3,FALSE)</f>
        <v>Wardrobe Organizer</v>
      </c>
      <c r="D326" t="s">
        <v>27</v>
      </c>
      <c r="E326" t="str">
        <f>VLOOKUP(Amazon_1P__2[[#This Row],[ASIN]],[2]Sheet1!$B:$E,4,FALSE)</f>
        <v>BJWZ0017-POLG24L-FBA</v>
      </c>
      <c r="F326">
        <v>3</v>
      </c>
      <c r="G326" s="8">
        <v>1922.04</v>
      </c>
      <c r="H326" s="2" t="s">
        <v>113</v>
      </c>
    </row>
    <row r="327" spans="1:8" x14ac:dyDescent="0.25">
      <c r="A327" s="1">
        <v>45897</v>
      </c>
      <c r="B327" t="s">
        <v>56</v>
      </c>
      <c r="C327" t="str">
        <f>VLOOKUP(Amazon_1P__2[[#This Row],[ASIN]],[1]Table1__2!$C:$E,3,FALSE)</f>
        <v>Wardrobe Organizer</v>
      </c>
      <c r="D327" t="s">
        <v>27</v>
      </c>
      <c r="E327" t="str">
        <f>VLOOKUP(Amazon_1P__2[[#This Row],[ASIN]],[2]Sheet1!$B:$E,4,FALSE)</f>
        <v>BJWZ0008-PVTRSTL-P2</v>
      </c>
      <c r="F327">
        <v>4</v>
      </c>
      <c r="G327" s="8">
        <v>1850.85</v>
      </c>
      <c r="H327" s="2" t="s">
        <v>113</v>
      </c>
    </row>
    <row r="328" spans="1:8" x14ac:dyDescent="0.25">
      <c r="A328" s="1">
        <v>45897</v>
      </c>
      <c r="B328" t="s">
        <v>101</v>
      </c>
      <c r="C328" t="str">
        <f>VLOOKUP(Amazon_1P__2[[#This Row],[ASIN]],[1]Table1__2!$C:$E,3,FALSE)</f>
        <v>Multipurpose Organizer</v>
      </c>
      <c r="D328" t="s">
        <v>27</v>
      </c>
      <c r="E328" t="str">
        <f>VLOOKUP(Amazon_1P__2[[#This Row],[ASIN]],'[1]Table1 (2)'!$A:$B,2,FALSE)</f>
        <v>BJMZ0003-MMWHF06S-BC</v>
      </c>
      <c r="F328">
        <v>1</v>
      </c>
      <c r="G328" s="8">
        <v>1694.07</v>
      </c>
      <c r="H328" s="2" t="s">
        <v>113</v>
      </c>
    </row>
    <row r="329" spans="1:8" x14ac:dyDescent="0.25">
      <c r="A329" s="1">
        <v>45897</v>
      </c>
      <c r="B329" t="s">
        <v>36</v>
      </c>
      <c r="C329" t="str">
        <f>VLOOKUP(Amazon_1P__2[[#This Row],[ASIN]],[1]Table1__2!$C:$E,3,FALSE)</f>
        <v>Wardrobe Organizer</v>
      </c>
      <c r="D329" t="s">
        <v>27</v>
      </c>
      <c r="E329" t="str">
        <f>VLOOKUP(Amazon_1P__2[[#This Row],[ASIN]],'[1]Table1 (2)'!$A:$B,2,FALSE)</f>
        <v>BJWZ0015-PVTR66L</v>
      </c>
      <c r="F329">
        <v>2</v>
      </c>
      <c r="G329" s="8">
        <v>1689.84</v>
      </c>
      <c r="H329" s="2" t="s">
        <v>113</v>
      </c>
    </row>
    <row r="330" spans="1:8" x14ac:dyDescent="0.25">
      <c r="A330" s="1">
        <v>45897</v>
      </c>
      <c r="B330" t="s">
        <v>44</v>
      </c>
      <c r="C330" t="str">
        <f>VLOOKUP(Amazon_1P__2[[#This Row],[ASIN]],[1]Table1__2!$C:$E,3,FALSE)</f>
        <v>Footwear Organizer</v>
      </c>
      <c r="D330" t="s">
        <v>27</v>
      </c>
      <c r="E330" t="str">
        <f>VLOOKUP(Amazon_1P__2[[#This Row],[ASIN]],'[1]Table1 (2)'!$A:$B,2,FALSE)</f>
        <v>BJFZ0013-PPBT8S-CLOTHRACK</v>
      </c>
      <c r="F330">
        <v>1</v>
      </c>
      <c r="G330" s="8">
        <v>1588.14</v>
      </c>
      <c r="H330" s="2" t="s">
        <v>113</v>
      </c>
    </row>
    <row r="331" spans="1:8" x14ac:dyDescent="0.25">
      <c r="A331" s="1">
        <v>45897</v>
      </c>
      <c r="B331" t="s">
        <v>75</v>
      </c>
      <c r="C331" t="str">
        <f>VLOOKUP(Amazon_1P__2[[#This Row],[ASIN]],[1]Table1__2!$C:$E,3,FALSE)</f>
        <v>Multipurpose Organizer</v>
      </c>
      <c r="D331" t="s">
        <v>27</v>
      </c>
      <c r="E331" t="str">
        <f>VLOOKUP(Amazon_1P__2[[#This Row],[ASIN]],'[1]Table1 (2)'!$A:$B,2,FALSE)</f>
        <v>BJMZ0006-PPBT02S</v>
      </c>
      <c r="F331">
        <v>2</v>
      </c>
      <c r="G331" s="8">
        <v>1354.24</v>
      </c>
      <c r="H331" s="2" t="s">
        <v>113</v>
      </c>
    </row>
    <row r="332" spans="1:8" x14ac:dyDescent="0.25">
      <c r="A332" s="1">
        <v>45897</v>
      </c>
      <c r="B332" t="s">
        <v>5</v>
      </c>
      <c r="C332" t="str">
        <f>VLOOKUP(Amazon_1P__2[[#This Row],[ASIN]],[1]Table1__2!$C:$E,3,FALSE)</f>
        <v>Wardrobe Organizer</v>
      </c>
      <c r="D332" t="s">
        <v>27</v>
      </c>
      <c r="E332" t="str">
        <f>VLOOKUP(Amazon_1P__2[[#This Row],[ASIN]],[2]Sheet1!$B:$E,4,FALSE)</f>
        <v>BJWZ0028-VBTRLP3-FBA</v>
      </c>
      <c r="F332">
        <v>4</v>
      </c>
      <c r="G332" s="8">
        <v>1342.36</v>
      </c>
      <c r="H332" s="2" t="s">
        <v>113</v>
      </c>
    </row>
    <row r="333" spans="1:8" x14ac:dyDescent="0.25">
      <c r="A333" s="1">
        <v>45897</v>
      </c>
      <c r="B333" t="s">
        <v>20</v>
      </c>
      <c r="C333" t="str">
        <f>VLOOKUP(Amazon_1P__2[[#This Row],[ASIN]],[1]Table1__2!$C:$E,3,FALSE)</f>
        <v>Wardrobe Organizer</v>
      </c>
      <c r="D333" t="s">
        <v>27</v>
      </c>
      <c r="E333" t="str">
        <f>VLOOKUP(Amazon_1P__2[[#This Row],[ASIN]],[2]Sheet1!$B:$E,4,FALSE)</f>
        <v>BJWZ0035-VBTRC20-FBA</v>
      </c>
      <c r="F333">
        <v>1</v>
      </c>
      <c r="G333" s="8">
        <v>1269.49</v>
      </c>
      <c r="H333" s="2" t="s">
        <v>113</v>
      </c>
    </row>
    <row r="334" spans="1:8" x14ac:dyDescent="0.25">
      <c r="A334" s="1">
        <v>45897</v>
      </c>
      <c r="B334" t="s">
        <v>47</v>
      </c>
      <c r="C334" t="str">
        <f>VLOOKUP(Amazon_1P__2[[#This Row],[ASIN]],[1]Table1__2!$C:$E,3,FALSE)</f>
        <v>Wardrobe Organizer</v>
      </c>
      <c r="D334" t="s">
        <v>27</v>
      </c>
      <c r="E334" t="str">
        <f>VLOOKUP(Amazon_1P__2[[#This Row],[ASIN]],'[1]Table1 (2)'!$A:$B,2,FALSE)</f>
        <v>BJWZ0012-PCLGSTL-P4</v>
      </c>
      <c r="F334">
        <v>1</v>
      </c>
      <c r="G334" s="8">
        <v>1134.75</v>
      </c>
      <c r="H334" s="2" t="s">
        <v>113</v>
      </c>
    </row>
    <row r="335" spans="1:8" x14ac:dyDescent="0.25">
      <c r="A335" s="1">
        <v>45897</v>
      </c>
      <c r="B335" t="s">
        <v>105</v>
      </c>
      <c r="C335" t="str">
        <f>VLOOKUP(Amazon_1P__2[[#This Row],[ASIN]],[1]Table1__2!$C:$E,3,FALSE)</f>
        <v>Resin</v>
      </c>
      <c r="D335" t="s">
        <v>32</v>
      </c>
      <c r="E335" t="str">
        <f>VLOOKUP(Amazon_1P__2[[#This Row],[ASIN]],[2]Sheet1!$B:$E,4,FALSE)</f>
        <v>TK-RESINKIT-31-1200-FBA</v>
      </c>
      <c r="F335">
        <v>1</v>
      </c>
      <c r="G335" s="8">
        <v>1100.8499999999999</v>
      </c>
      <c r="H335" s="2" t="s">
        <v>113</v>
      </c>
    </row>
    <row r="336" spans="1:8" x14ac:dyDescent="0.25">
      <c r="A336" s="1">
        <v>45897</v>
      </c>
      <c r="B336" t="s">
        <v>15</v>
      </c>
      <c r="C336" t="str">
        <f>VLOOKUP(Amazon_1P__2[[#This Row],[ASIN]],[1]Table1__2!$C:$E,3,FALSE)</f>
        <v>Wardrobe Organizer</v>
      </c>
      <c r="D336" t="s">
        <v>27</v>
      </c>
      <c r="E336" t="str">
        <f>VLOOKUP(Amazon_1P__2[[#This Row],[ASIN]],[2]Sheet1!$B:$E,4,FALSE)</f>
        <v>BJWZ0010-OXGYSTL-P2-FBA</v>
      </c>
      <c r="F336">
        <v>2</v>
      </c>
      <c r="G336" s="8">
        <v>1076.28</v>
      </c>
      <c r="H336" s="2" t="s">
        <v>113</v>
      </c>
    </row>
    <row r="337" spans="1:8" x14ac:dyDescent="0.25">
      <c r="A337" s="1">
        <v>45897</v>
      </c>
      <c r="B337" t="s">
        <v>77</v>
      </c>
      <c r="C337" t="str">
        <f>VLOOKUP(Amazon_1P__2[[#This Row],[ASIN]],[1]Table1__2!$C:$E,3,FALSE)</f>
        <v>Tape</v>
      </c>
      <c r="D337" t="s">
        <v>32</v>
      </c>
      <c r="E337" t="str">
        <f>VLOOKUP(Amazon_1P__2[[#This Row],[ASIN]],'[1]Table1 (2)'!$A:$B,2,FALSE)</f>
        <v>TK-TAPE-DUCT-25M-48MM</v>
      </c>
      <c r="F337">
        <v>5</v>
      </c>
      <c r="G337" s="8">
        <v>1060.18</v>
      </c>
      <c r="H337" s="2" t="s">
        <v>113</v>
      </c>
    </row>
    <row r="338" spans="1:8" x14ac:dyDescent="0.25">
      <c r="A338" s="1">
        <v>45897</v>
      </c>
      <c r="B338" t="s">
        <v>39</v>
      </c>
      <c r="C338" t="str">
        <f>VLOOKUP(Amazon_1P__2[[#This Row],[ASIN]],[1]Table1__2!$C:$E,3,FALSE)</f>
        <v>Wardrobe Organizer</v>
      </c>
      <c r="D338" t="s">
        <v>27</v>
      </c>
      <c r="E338" t="str">
        <f>VLOOKUP(Amazon_1P__2[[#This Row],[ASIN]],[2]Sheet1!$B:$E,4,FALSE)</f>
        <v>BJWZ0003-POLG17G-FBA</v>
      </c>
      <c r="F338">
        <v>3</v>
      </c>
      <c r="G338" s="8">
        <v>1006.78</v>
      </c>
      <c r="H338" s="2" t="s">
        <v>113</v>
      </c>
    </row>
    <row r="339" spans="1:8" x14ac:dyDescent="0.25">
      <c r="A339" s="1">
        <v>45897</v>
      </c>
      <c r="B339" t="s">
        <v>21</v>
      </c>
      <c r="C339" t="str">
        <f>VLOOKUP(Amazon_1P__2[[#This Row],[ASIN]],[1]Table1__2!$C:$E,3,FALSE)</f>
        <v>Wardrobe Organizer</v>
      </c>
      <c r="D339" t="s">
        <v>27</v>
      </c>
      <c r="E339" t="str">
        <f>VLOOKUP(Amazon_1P__2[[#This Row],[ASIN]],[2]Sheet1!$B:$E,4,FALSE)</f>
        <v>BJWZ0034-VBTRC12-FBA</v>
      </c>
      <c r="F339">
        <v>1</v>
      </c>
      <c r="G339" s="8">
        <v>930.51</v>
      </c>
      <c r="H339" s="2" t="s">
        <v>113</v>
      </c>
    </row>
    <row r="340" spans="1:8" x14ac:dyDescent="0.25">
      <c r="A340" s="1">
        <v>45897</v>
      </c>
      <c r="B340" t="s">
        <v>23</v>
      </c>
      <c r="C340" t="str">
        <f>VLOOKUP(Amazon_1P__2[[#This Row],[ASIN]],[1]Table1__2!$C:$E,3,FALSE)</f>
        <v>Wardrobe Organizer</v>
      </c>
      <c r="D340" t="s">
        <v>27</v>
      </c>
      <c r="E340" t="str">
        <f>VLOOKUP(Amazon_1P__2[[#This Row],[ASIN]],[2]Sheet1!$B:$E,4,FALSE)</f>
        <v>BJWZ0008-PVTRSTL-P4</v>
      </c>
      <c r="F340">
        <v>1</v>
      </c>
      <c r="G340" s="8">
        <v>845.76</v>
      </c>
      <c r="H340" s="2" t="s">
        <v>113</v>
      </c>
    </row>
    <row r="341" spans="1:8" x14ac:dyDescent="0.25">
      <c r="A341" s="1">
        <v>45897</v>
      </c>
      <c r="B341" t="s">
        <v>38</v>
      </c>
      <c r="C341" t="str">
        <f>VLOOKUP(Amazon_1P__2[[#This Row],[ASIN]],[1]Table1__2!$C:$E,3,FALSE)</f>
        <v>Tape</v>
      </c>
      <c r="D341" t="s">
        <v>32</v>
      </c>
      <c r="E341" t="str">
        <f>VLOOKUP(Amazon_1P__2[[#This Row],[ASIN]],'[1]Table1 (2)'!$A:$B,2,FALSE)</f>
        <v>TK-TAPE-TISSUE-50M-1INCH</v>
      </c>
      <c r="F341">
        <v>6</v>
      </c>
      <c r="G341" s="8">
        <v>839</v>
      </c>
      <c r="H341" s="2" t="s">
        <v>113</v>
      </c>
    </row>
    <row r="342" spans="1:8" x14ac:dyDescent="0.25">
      <c r="A342" s="1">
        <v>45897</v>
      </c>
      <c r="B342" t="s">
        <v>78</v>
      </c>
      <c r="C342" t="str">
        <f>VLOOKUP(Amazon_1P__2[[#This Row],[ASIN]],[1]Table1__2!$C:$E,3,FALSE)</f>
        <v>Resin</v>
      </c>
      <c r="D342" t="s">
        <v>32</v>
      </c>
      <c r="E342" t="str">
        <f>VLOOKUP(Amazon_1P__2[[#This Row],[ASIN]],'[1]Table1 (2)'!$A:$B,2,FALSE)</f>
        <v>TK-RESINKIT-21-150</v>
      </c>
      <c r="F342">
        <v>2</v>
      </c>
      <c r="G342" s="8">
        <v>674.58</v>
      </c>
      <c r="H342" s="2" t="s">
        <v>113</v>
      </c>
    </row>
    <row r="343" spans="1:8" x14ac:dyDescent="0.25">
      <c r="A343" s="1">
        <v>45897</v>
      </c>
      <c r="B343" t="s">
        <v>17</v>
      </c>
      <c r="C343" t="str">
        <f>VLOOKUP(Amazon_1P__2[[#This Row],[ASIN]],[1]Table1__2!$C:$E,3,FALSE)</f>
        <v>Wardrobe Organizer</v>
      </c>
      <c r="D343" t="s">
        <v>27</v>
      </c>
      <c r="E343" t="str">
        <f>VLOOKUP(Amazon_1P__2[[#This Row],[ASIN]],[2]Sheet1!$B:$E,4,FALSE)</f>
        <v>BJWZ0012-PCLGSTL-P2</v>
      </c>
      <c r="F343">
        <v>1</v>
      </c>
      <c r="G343" s="8">
        <v>631.36</v>
      </c>
      <c r="H343" s="2" t="s">
        <v>113</v>
      </c>
    </row>
    <row r="344" spans="1:8" x14ac:dyDescent="0.25">
      <c r="A344" s="1">
        <v>45897</v>
      </c>
      <c r="B344" t="s">
        <v>53</v>
      </c>
      <c r="C344" t="e">
        <f>VLOOKUP(Amazon_1P__2[[#This Row],[ASIN]],[1]Table1__2!$C:$E,3,FALSE)</f>
        <v>#N/A</v>
      </c>
      <c r="D344" t="s">
        <v>31</v>
      </c>
      <c r="E344" t="e">
        <f>VLOOKUP(Amazon_1P__2[[#This Row],[ASIN]],'[1]Table1 (2)'!$A:$B,2,FALSE)</f>
        <v>#N/A</v>
      </c>
      <c r="F344">
        <v>1</v>
      </c>
      <c r="G344" s="8">
        <v>629.66</v>
      </c>
      <c r="H344" s="2" t="s">
        <v>113</v>
      </c>
    </row>
    <row r="345" spans="1:8" x14ac:dyDescent="0.25">
      <c r="A345" s="1">
        <v>45897</v>
      </c>
      <c r="B345" t="s">
        <v>93</v>
      </c>
      <c r="C345" t="str">
        <f>VLOOKUP(Amazon_1P__2[[#This Row],[ASIN]],[1]Table1__2!$C:$E,3,FALSE)</f>
        <v>Resin</v>
      </c>
      <c r="D345" t="s">
        <v>32</v>
      </c>
      <c r="E345" t="str">
        <f>VLOOKUP(Amazon_1P__2[[#This Row],[ASIN]],'[1]Table1 (2)'!$A:$B,2,FALSE)</f>
        <v>TK-RESIN-21-150-JEWELKEYCHAIN-FBA</v>
      </c>
      <c r="F345">
        <v>1</v>
      </c>
      <c r="G345" s="8">
        <v>592.38</v>
      </c>
      <c r="H345" s="2" t="s">
        <v>113</v>
      </c>
    </row>
    <row r="346" spans="1:8" x14ac:dyDescent="0.25">
      <c r="A346" s="1">
        <v>45897</v>
      </c>
      <c r="B346" t="s">
        <v>19</v>
      </c>
      <c r="C346" t="str">
        <f>VLOOKUP(Amazon_1P__2[[#This Row],[ASIN]],[1]Table1__2!$C:$E,3,FALSE)</f>
        <v>Wardrobe Organizer</v>
      </c>
      <c r="D346" t="s">
        <v>27</v>
      </c>
      <c r="E346" t="str">
        <f>VLOOKUP(Amazon_1P__2[[#This Row],[ASIN]],[2]Sheet1!$B:$E,4,FALSE)</f>
        <v>BJWZ0027-VBTRMP3-FBA</v>
      </c>
      <c r="F346">
        <v>2</v>
      </c>
      <c r="G346" s="8">
        <v>584.76</v>
      </c>
      <c r="H346" s="2" t="s">
        <v>113</v>
      </c>
    </row>
    <row r="347" spans="1:8" x14ac:dyDescent="0.25">
      <c r="A347" s="1">
        <v>45897</v>
      </c>
      <c r="B347" t="s">
        <v>86</v>
      </c>
      <c r="C347" t="str">
        <f>VLOOKUP(Amazon_1P__2[[#This Row],[ASIN]],[1]Table1__2!$C:$E,3,FALSE)</f>
        <v>Resin</v>
      </c>
      <c r="D347" t="s">
        <v>32</v>
      </c>
      <c r="E347" t="str">
        <f>VLOOKUP(Amazon_1P__2[[#This Row],[ASIN]],'[1]Table1 (2)'!$A:$B,2,FALSE)</f>
        <v>TK-RESIN-21-150-ALPHABETCHARM-FBA</v>
      </c>
      <c r="F347">
        <v>1</v>
      </c>
      <c r="G347" s="8">
        <v>545.76</v>
      </c>
      <c r="H347" s="2" t="s">
        <v>113</v>
      </c>
    </row>
    <row r="348" spans="1:8" x14ac:dyDescent="0.25">
      <c r="A348" s="1">
        <v>45897</v>
      </c>
      <c r="B348" t="s">
        <v>100</v>
      </c>
      <c r="C348" t="str">
        <f>VLOOKUP(Amazon_1P__2[[#This Row],[ASIN]],[1]Table1__2!$C:$E,3,FALSE)</f>
        <v>Wardrobe Organizer</v>
      </c>
      <c r="D348" t="s">
        <v>27</v>
      </c>
      <c r="E348" t="str">
        <f>VLOOKUP(Amazon_1P__2[[#This Row],[ASIN]],'[1]Table1 (2)'!$A:$B,2,FALSE)</f>
        <v>BJWZ0031-POBG8B</v>
      </c>
      <c r="F348">
        <v>1</v>
      </c>
      <c r="G348" s="8">
        <v>506.78</v>
      </c>
      <c r="H348" s="2" t="s">
        <v>113</v>
      </c>
    </row>
    <row r="349" spans="1:8" x14ac:dyDescent="0.25">
      <c r="A349" s="1">
        <v>45897</v>
      </c>
      <c r="B349" t="s">
        <v>51</v>
      </c>
      <c r="C349" t="str">
        <f>VLOOKUP(Amazon_1P__2[[#This Row],[ASIN]],[1]Table1__2!$C:$E,3,FALSE)</f>
        <v>Wardrobe Organizer</v>
      </c>
      <c r="D349" t="s">
        <v>27</v>
      </c>
      <c r="E349" t="str">
        <f>VLOOKUP(Amazon_1P__2[[#This Row],[ASIN]],[2]Sheet1!$B:$E,4,FALSE)</f>
        <v>BJWZ0004-POLG13G-FBA</v>
      </c>
      <c r="F349">
        <v>2</v>
      </c>
      <c r="G349" s="8">
        <v>501.7</v>
      </c>
      <c r="H349" s="2" t="s">
        <v>113</v>
      </c>
    </row>
    <row r="350" spans="1:8" x14ac:dyDescent="0.25">
      <c r="A350" s="1">
        <v>45897</v>
      </c>
      <c r="B350" t="s">
        <v>35</v>
      </c>
      <c r="C350" t="str">
        <f>VLOOKUP(Amazon_1P__2[[#This Row],[ASIN]],[1]Table1__2!$C:$E,3,FALSE)</f>
        <v>Face Care</v>
      </c>
      <c r="D350" t="s">
        <v>34</v>
      </c>
      <c r="E350" t="str">
        <f>VLOOKUP(Amazon_1P__2[[#This Row],[ASIN]],[2]Sheet1!$B:$E,4,FALSE)</f>
        <v>PRFCLB001-04-P1</v>
      </c>
      <c r="F350">
        <v>3</v>
      </c>
      <c r="G350" s="8">
        <v>455.08</v>
      </c>
      <c r="H350" s="2" t="s">
        <v>113</v>
      </c>
    </row>
    <row r="351" spans="1:8" x14ac:dyDescent="0.25">
      <c r="A351" s="1">
        <v>45897</v>
      </c>
      <c r="B351" t="s">
        <v>107</v>
      </c>
      <c r="C351" t="str">
        <f>VLOOKUP(Amazon_1P__2[[#This Row],[ASIN]],[1]Table1__2!$C:$E,3,FALSE)</f>
        <v>Wardrobe Organizer</v>
      </c>
      <c r="D351" t="s">
        <v>27</v>
      </c>
      <c r="E351" t="str">
        <f>VLOOKUP(Amazon_1P__2[[#This Row],[ASIN]],'[1]Table1 (2)'!$A:$B,2,FALSE)</f>
        <v>BJWZ0030-POBG6B</v>
      </c>
      <c r="F351">
        <v>1</v>
      </c>
      <c r="G351" s="8">
        <v>422.03</v>
      </c>
      <c r="H351" s="2" t="s">
        <v>113</v>
      </c>
    </row>
    <row r="352" spans="1:8" x14ac:dyDescent="0.25">
      <c r="A352" s="1">
        <v>45897</v>
      </c>
      <c r="B352" t="s">
        <v>68</v>
      </c>
      <c r="C352" t="str">
        <f>VLOOKUP(Amazon_1P__2[[#This Row],[ASIN]],[1]Table1__2!$C:$E,3,FALSE)</f>
        <v>Resin</v>
      </c>
      <c r="D352" t="s">
        <v>32</v>
      </c>
      <c r="E352" t="str">
        <f>VLOOKUP(Amazon_1P__2[[#This Row],[ASIN]],'[1]Table1 (2)'!$A:$B,2,FALSE)</f>
        <v>TK-RESINKIT-21-300-FBA</v>
      </c>
      <c r="F352">
        <v>1</v>
      </c>
      <c r="G352" s="8">
        <v>400.84</v>
      </c>
      <c r="H352" s="2" t="s">
        <v>113</v>
      </c>
    </row>
    <row r="353" spans="1:8" x14ac:dyDescent="0.25">
      <c r="A353" s="1">
        <v>45897</v>
      </c>
      <c r="B353" t="s">
        <v>52</v>
      </c>
      <c r="C353" t="str">
        <f>VLOOKUP(Amazon_1P__2[[#This Row],[ASIN]],[1]Table1__2!$C:$E,3,FALSE)</f>
        <v>Tape</v>
      </c>
      <c r="D353" t="s">
        <v>32</v>
      </c>
      <c r="E353" t="str">
        <f>VLOOKUP(Amazon_1P__2[[#This Row],[ASIN]],'[1]Table1 (2)'!$A:$B,2,FALSE)</f>
        <v>TK-TAPE-MASKING-20M-24MM-PACK1</v>
      </c>
      <c r="F353">
        <v>5</v>
      </c>
      <c r="G353" s="8">
        <v>360.17</v>
      </c>
      <c r="H353" s="2" t="s">
        <v>113</v>
      </c>
    </row>
    <row r="354" spans="1:8" x14ac:dyDescent="0.25">
      <c r="A354" s="1">
        <v>45897</v>
      </c>
      <c r="B354" t="s">
        <v>4</v>
      </c>
      <c r="C354" t="str">
        <f>VLOOKUP(Amazon_1P__2[[#This Row],[ASIN]],[1]Table1__2!$C:$E,3,FALSE)</f>
        <v>Body Care</v>
      </c>
      <c r="D354" t="s">
        <v>34</v>
      </c>
      <c r="E354" t="str">
        <f>VLOOKUP(Amazon_1P__2[[#This Row],[ASIN]],[2]Sheet1!$B:$E,4,FALSE)</f>
        <v>PRBCUR001-40-P1-FBA</v>
      </c>
      <c r="F354">
        <v>2</v>
      </c>
      <c r="G354" s="8">
        <v>337.28</v>
      </c>
      <c r="H354" s="2" t="s">
        <v>113</v>
      </c>
    </row>
    <row r="355" spans="1:8" x14ac:dyDescent="0.25">
      <c r="A355" s="1">
        <v>45897</v>
      </c>
      <c r="B355" t="s">
        <v>61</v>
      </c>
      <c r="C355" t="e">
        <f>VLOOKUP(Amazon_1P__2[[#This Row],[ASIN]],[1]Table1__2!$C:$E,3,FALSE)</f>
        <v>#N/A</v>
      </c>
      <c r="D355" t="s">
        <v>31</v>
      </c>
      <c r="E355" t="e">
        <f>VLOOKUP(Amazon_1P__2[[#This Row],[ASIN]],'[1]Table1 (2)'!$A:$B,2,FALSE)</f>
        <v>#N/A</v>
      </c>
      <c r="F355">
        <v>1</v>
      </c>
      <c r="G355" s="8">
        <v>332.2</v>
      </c>
      <c r="H355" s="2" t="s">
        <v>113</v>
      </c>
    </row>
    <row r="356" spans="1:8" x14ac:dyDescent="0.25">
      <c r="A356" s="1">
        <v>45897</v>
      </c>
      <c r="B356" t="s">
        <v>94</v>
      </c>
      <c r="C356" t="str">
        <f>VLOOKUP(Amazon_1P__2[[#This Row],[ASIN]],[1]Table1__2!$C:$E,3,FALSE)</f>
        <v>Tape</v>
      </c>
      <c r="D356" t="s">
        <v>32</v>
      </c>
      <c r="E356" t="str">
        <f>VLOOKUP(Amazon_1P__2[[#This Row],[ASIN]],'[1]Table1 (2)'!$A:$B,2,FALSE)</f>
        <v>TK-TAPE-TISSUE-50M-1INCH-PACK2</v>
      </c>
      <c r="F356">
        <v>2</v>
      </c>
      <c r="G356" s="8">
        <v>330.51</v>
      </c>
      <c r="H356" s="2" t="s">
        <v>113</v>
      </c>
    </row>
    <row r="357" spans="1:8" x14ac:dyDescent="0.25">
      <c r="A357" s="1">
        <v>45897</v>
      </c>
      <c r="B357" t="s">
        <v>85</v>
      </c>
      <c r="C357" t="str">
        <f>VLOOKUP(Amazon_1P__2[[#This Row],[ASIN]],[1]Table1__2!$C:$E,3,FALSE)</f>
        <v>Tape</v>
      </c>
      <c r="D357" t="s">
        <v>32</v>
      </c>
      <c r="E357" t="str">
        <f>VLOOKUP(Amazon_1P__2[[#This Row],[ASIN]],'[1]Table1 (2)'!$A:$B,2,FALSE)</f>
        <v>TK-TAPE-ACRYLIC-5M-12MM-2MM</v>
      </c>
      <c r="F357">
        <v>2</v>
      </c>
      <c r="G357" s="8">
        <v>327.12</v>
      </c>
      <c r="H357" s="2" t="s">
        <v>113</v>
      </c>
    </row>
    <row r="358" spans="1:8" x14ac:dyDescent="0.25">
      <c r="A358" s="1">
        <v>45897</v>
      </c>
      <c r="B358" t="s">
        <v>80</v>
      </c>
      <c r="C358" t="str">
        <f>VLOOKUP(Amazon_1P__2[[#This Row],[ASIN]],[1]Table1__2!$C:$E,3,FALSE)</f>
        <v>Tape</v>
      </c>
      <c r="D358" t="s">
        <v>32</v>
      </c>
      <c r="E358" t="str">
        <f>VLOOKUP(Amazon_1P__2[[#This Row],[ASIN]],'[1]Table1 (2)'!$A:$B,2,FALSE)</f>
        <v>TK-TAPE-ANTISKID-5M-50MM-BLACK-FBA</v>
      </c>
      <c r="F358">
        <v>1</v>
      </c>
      <c r="G358" s="8">
        <v>322.02999999999997</v>
      </c>
      <c r="H358" s="2" t="s">
        <v>113</v>
      </c>
    </row>
    <row r="359" spans="1:8" x14ac:dyDescent="0.25">
      <c r="A359" s="1">
        <v>45897</v>
      </c>
      <c r="B359" t="s">
        <v>76</v>
      </c>
      <c r="C359" t="str">
        <f>VLOOKUP(Amazon_1P__2[[#This Row],[ASIN]],[1]Table1__2!$C:$E,3,FALSE)</f>
        <v>Wardrobe Organizer</v>
      </c>
      <c r="D359" t="s">
        <v>27</v>
      </c>
      <c r="E359" t="str">
        <f>VLOOKUP(Amazon_1P__2[[#This Row],[ASIN]],'[1]Table1 (2)'!$A:$B,2,FALSE)</f>
        <v>BJWZ0008-PVTRSTL-P1</v>
      </c>
      <c r="F359">
        <v>1</v>
      </c>
      <c r="G359" s="8">
        <v>252.54</v>
      </c>
      <c r="H359" s="2" t="s">
        <v>113</v>
      </c>
    </row>
    <row r="360" spans="1:8" x14ac:dyDescent="0.25">
      <c r="A360" s="1">
        <v>45897</v>
      </c>
      <c r="B360" t="s">
        <v>57</v>
      </c>
      <c r="C360" t="str">
        <f>VLOOKUP(Amazon_1P__2[[#This Row],[ASIN]],[1]Table1__2!$C:$E,3,FALSE)</f>
        <v>Tape</v>
      </c>
      <c r="D360" t="s">
        <v>32</v>
      </c>
      <c r="E360" t="str">
        <f>VLOOKUP(Amazon_1P__2[[#This Row],[ASIN]],'[1]Table1 (2)'!$A:$B,2,FALSE)</f>
        <v>TK-TAPE-ALUMINIUM-5M-2INCH</v>
      </c>
      <c r="F360">
        <v>1</v>
      </c>
      <c r="G360" s="8">
        <v>222.88</v>
      </c>
      <c r="H360" s="2" t="s">
        <v>113</v>
      </c>
    </row>
    <row r="361" spans="1:8" x14ac:dyDescent="0.25">
      <c r="A361" s="1">
        <v>45897</v>
      </c>
      <c r="B361" t="s">
        <v>89</v>
      </c>
      <c r="C361" t="str">
        <f>VLOOKUP(Amazon_1P__2[[#This Row],[ASIN]],[1]Table1__2!$C:$E,3,FALSE)</f>
        <v>Tape</v>
      </c>
      <c r="D361" t="s">
        <v>32</v>
      </c>
      <c r="E361" t="str">
        <f>VLOOKUP(Amazon_1P__2[[#This Row],[ASIN]],'[1]Table1 (2)'!$A:$B,2,FALSE)</f>
        <v>TK-TAPE-VASTU-BLUE-4INCH-15MTR</v>
      </c>
      <c r="F361">
        <v>1</v>
      </c>
      <c r="G361" s="8">
        <v>222.04</v>
      </c>
      <c r="H361" s="2" t="s">
        <v>113</v>
      </c>
    </row>
    <row r="362" spans="1:8" x14ac:dyDescent="0.25">
      <c r="A362" s="1">
        <v>45897</v>
      </c>
      <c r="B362" t="s">
        <v>74</v>
      </c>
      <c r="C362" t="str">
        <f>VLOOKUP(Amazon_1P__2[[#This Row],[ASIN]],[1]Table1__2!$C:$E,3,FALSE)</f>
        <v>Tape</v>
      </c>
      <c r="D362" t="s">
        <v>32</v>
      </c>
      <c r="E362" t="str">
        <f>VLOOKUP(Amazon_1P__2[[#This Row],[ASIN]],'[1]Table1 (2)'!$A:$B,2,FALSE)</f>
        <v>TK-TAPE-VASTU-WHITE-4INCH-15MTR</v>
      </c>
      <c r="F362">
        <v>1</v>
      </c>
      <c r="G362" s="8">
        <v>218.64</v>
      </c>
      <c r="H362" s="2" t="s">
        <v>113</v>
      </c>
    </row>
    <row r="363" spans="1:8" x14ac:dyDescent="0.25">
      <c r="A363" s="1">
        <v>45897</v>
      </c>
      <c r="B363" t="s">
        <v>0</v>
      </c>
      <c r="C363" t="str">
        <f>VLOOKUP(Amazon_1P__2[[#This Row],[ASIN]],[1]Table1__2!$C:$E,3,FALSE)</f>
        <v>Body Care</v>
      </c>
      <c r="D363" t="s">
        <v>34</v>
      </c>
      <c r="E363" t="str">
        <f>VLOOKUP(Amazon_1P__2[[#This Row],[ASIN]],[2]Sheet1!$B:$E,4,FALSE)</f>
        <v>PRBCBW001-250-P1-FBA</v>
      </c>
      <c r="F363">
        <v>1</v>
      </c>
      <c r="G363" s="8">
        <v>207.63</v>
      </c>
      <c r="H363" s="2" t="s">
        <v>113</v>
      </c>
    </row>
    <row r="364" spans="1:8" x14ac:dyDescent="0.25">
      <c r="A364" s="1">
        <v>45897</v>
      </c>
      <c r="B364" t="s">
        <v>66</v>
      </c>
      <c r="C364" t="str">
        <f>VLOOKUP(Amazon_1P__2[[#This Row],[ASIN]],[1]Table1__2!$C:$E,3,FALSE)</f>
        <v>Tape</v>
      </c>
      <c r="D364" t="s">
        <v>32</v>
      </c>
      <c r="E364" t="str">
        <f>VLOOKUP(Amazon_1P__2[[#This Row],[ASIN]],'[1]Table1 (2)'!$A:$B,2,FALSE)</f>
        <v>TK-TAPE-MASKING-20M-12MM-PACK1</v>
      </c>
      <c r="F364">
        <v>4</v>
      </c>
      <c r="G364" s="8">
        <v>186.44</v>
      </c>
      <c r="H364" s="2" t="s">
        <v>113</v>
      </c>
    </row>
    <row r="365" spans="1:8" x14ac:dyDescent="0.25">
      <c r="A365" s="1">
        <v>45897</v>
      </c>
      <c r="B365" t="s">
        <v>58</v>
      </c>
      <c r="C365" t="str">
        <f>VLOOKUP(Amazon_1P__2[[#This Row],[ASIN]],[1]Table1__2!$C:$E,3,FALSE)</f>
        <v>Tape</v>
      </c>
      <c r="D365" t="s">
        <v>32</v>
      </c>
      <c r="E365" t="str">
        <f>VLOOKUP(Amazon_1P__2[[#This Row],[ASIN]],'[1]Table1 (2)'!$A:$B,2,FALSE)</f>
        <v>TK-TAPE-BOPP-BROWN-65M-2INCH-P2</v>
      </c>
      <c r="F365">
        <v>1</v>
      </c>
      <c r="G365" s="8">
        <v>183.9</v>
      </c>
      <c r="H365" s="2" t="s">
        <v>113</v>
      </c>
    </row>
    <row r="366" spans="1:8" x14ac:dyDescent="0.25">
      <c r="A366" s="1">
        <v>45897</v>
      </c>
      <c r="B366" t="s">
        <v>3</v>
      </c>
      <c r="C366" t="str">
        <f>VLOOKUP(Amazon_1P__2[[#This Row],[ASIN]],[1]Table1__2!$C:$E,3,FALSE)</f>
        <v>Face Care</v>
      </c>
      <c r="D366" t="s">
        <v>34</v>
      </c>
      <c r="E366" t="str">
        <f>VLOOKUP(Amazon_1P__2[[#This Row],[ASIN]],[2]Sheet1!$B:$E,4,FALSE)</f>
        <v>PRFCSS001-50-P1-FBA</v>
      </c>
      <c r="F366">
        <v>1</v>
      </c>
      <c r="G366" s="8">
        <v>168.64</v>
      </c>
      <c r="H366" s="2" t="s">
        <v>113</v>
      </c>
    </row>
    <row r="367" spans="1:8" x14ac:dyDescent="0.25">
      <c r="A367" s="1">
        <v>45897</v>
      </c>
      <c r="B367" t="s">
        <v>8</v>
      </c>
      <c r="C367" t="str">
        <f>VLOOKUP(Amazon_1P__2[[#This Row],[ASIN]],[1]Table1__2!$C:$E,3,FALSE)</f>
        <v>Face Care</v>
      </c>
      <c r="D367" t="s">
        <v>34</v>
      </c>
      <c r="E367" t="str">
        <f>VLOOKUP(Amazon_1P__2[[#This Row],[ASIN]],[2]Sheet1!$B:$E,4,FALSE)</f>
        <v>PRFCFC001-50-P1-FBA</v>
      </c>
      <c r="F367">
        <v>1</v>
      </c>
      <c r="G367" s="8">
        <v>168.64</v>
      </c>
      <c r="H367" s="2" t="s">
        <v>113</v>
      </c>
    </row>
    <row r="368" spans="1:8" x14ac:dyDescent="0.25">
      <c r="A368" s="1">
        <v>45897</v>
      </c>
      <c r="B368" t="s">
        <v>65</v>
      </c>
      <c r="C368" t="str">
        <f>VLOOKUP(Amazon_1P__2[[#This Row],[ASIN]],[1]Table1__2!$C:$E,3,FALSE)</f>
        <v>Tape</v>
      </c>
      <c r="D368" t="s">
        <v>32</v>
      </c>
      <c r="E368" t="str">
        <f>VLOOKUP(Amazon_1P__2[[#This Row],[ASIN]],'[1]Table1 (2)'!$A:$B,2,FALSE)</f>
        <v>TK-TAPE-ELECTRICAL-6M-17MM-PACK6</v>
      </c>
      <c r="F368">
        <v>1</v>
      </c>
      <c r="G368" s="8">
        <v>150.85</v>
      </c>
      <c r="H368" s="2" t="s">
        <v>113</v>
      </c>
    </row>
    <row r="369" spans="1:8" x14ac:dyDescent="0.25">
      <c r="A369" s="1">
        <v>45897</v>
      </c>
      <c r="B369" t="s">
        <v>71</v>
      </c>
      <c r="C369" t="str">
        <f>VLOOKUP(Amazon_1P__2[[#This Row],[ASIN]],[1]Table1__2!$C:$E,3,FALSE)</f>
        <v>Tape</v>
      </c>
      <c r="D369" t="s">
        <v>32</v>
      </c>
      <c r="E369" t="str">
        <f>VLOOKUP(Amazon_1P__2[[#This Row],[ASIN]],'[1]Table1 (2)'!$A:$B,2,FALSE)</f>
        <v>TK-TAPE-FLOORMARKING-ZEBRA-15M-2INCH</v>
      </c>
      <c r="F369">
        <v>0</v>
      </c>
      <c r="G369" s="8">
        <v>0</v>
      </c>
      <c r="H369" s="2" t="s">
        <v>113</v>
      </c>
    </row>
    <row r="370" spans="1:8" x14ac:dyDescent="0.25">
      <c r="A370" s="1">
        <v>45897</v>
      </c>
      <c r="B370" t="s">
        <v>63</v>
      </c>
      <c r="C370" t="str">
        <f>VLOOKUP(Amazon_1P__2[[#This Row],[ASIN]],[1]Table1__2!$C:$E,3,FALSE)</f>
        <v>Tape</v>
      </c>
      <c r="D370" t="s">
        <v>32</v>
      </c>
      <c r="E370" t="str">
        <f>VLOOKUP(Amazon_1P__2[[#This Row],[ASIN]],'[1]Table1 (2)'!$A:$B,2,FALSE)</f>
        <v>TK-TAPE-ALUMINIUM-3M-2INCH</v>
      </c>
      <c r="F370">
        <v>0</v>
      </c>
      <c r="G370" s="8">
        <v>0</v>
      </c>
      <c r="H370" s="2" t="s">
        <v>113</v>
      </c>
    </row>
    <row r="371" spans="1:8" x14ac:dyDescent="0.25">
      <c r="A371" s="1">
        <v>45897</v>
      </c>
      <c r="B371" t="s">
        <v>55</v>
      </c>
      <c r="C371" t="str">
        <f>VLOOKUP(Amazon_1P__2[[#This Row],[ASIN]],[1]Table1__2!$C:$E,3,FALSE)</f>
        <v>Wardrobe Organizer</v>
      </c>
      <c r="D371" t="s">
        <v>27</v>
      </c>
      <c r="E371" t="str">
        <f>VLOOKUP(Amazon_1P__2[[#This Row],[ASIN]],'[1]Table1 (2)'!$A:$B,2,FALSE)</f>
        <v>BJWZ0010-OXGYSTL-P1</v>
      </c>
      <c r="F371">
        <v>0</v>
      </c>
      <c r="G371" s="8">
        <v>0</v>
      </c>
      <c r="H371" s="2" t="s">
        <v>113</v>
      </c>
    </row>
    <row r="372" spans="1:8" x14ac:dyDescent="0.25">
      <c r="A372" s="1">
        <v>45897</v>
      </c>
      <c r="B372" t="s">
        <v>92</v>
      </c>
      <c r="C372" t="str">
        <f>VLOOKUP(Amazon_1P__2[[#This Row],[ASIN]],[1]Table1__2!$C:$E,3,FALSE)</f>
        <v>Multipurpose Organizer</v>
      </c>
      <c r="D372" t="s">
        <v>27</v>
      </c>
      <c r="E372" t="str">
        <f>VLOOKUP(Amazon_1P__2[[#This Row],[ASIN]],[2]Sheet1!$B:$E,4,FALSE)</f>
        <v>BJMZ0010-MMWHH05S</v>
      </c>
      <c r="F372">
        <v>0</v>
      </c>
      <c r="G372" s="8">
        <v>0</v>
      </c>
      <c r="H372" s="2" t="s">
        <v>113</v>
      </c>
    </row>
    <row r="373" spans="1:8" x14ac:dyDescent="0.25">
      <c r="A373" s="1">
        <v>45897</v>
      </c>
      <c r="B373" t="s">
        <v>48</v>
      </c>
      <c r="C373" t="str">
        <f>VLOOKUP(Amazon_1P__2[[#This Row],[ASIN]],[1]Table1__2!$C:$E,3,FALSE)</f>
        <v>Wardrobe Organizer</v>
      </c>
      <c r="D373" t="s">
        <v>27</v>
      </c>
      <c r="E373" t="str">
        <f>VLOOKUP(Amazon_1P__2[[#This Row],[ASIN]],'[1]Table1 (2)'!$A:$B,2,FALSE)</f>
        <v>BJWZ0016-PVTR110</v>
      </c>
      <c r="F373">
        <v>0</v>
      </c>
      <c r="G373" s="8">
        <v>0</v>
      </c>
      <c r="H373" s="2" t="s">
        <v>113</v>
      </c>
    </row>
    <row r="374" spans="1:8" x14ac:dyDescent="0.25">
      <c r="A374" s="1">
        <v>45897</v>
      </c>
      <c r="B374" t="s">
        <v>13</v>
      </c>
      <c r="C374" t="str">
        <f>VLOOKUP(Amazon_1P__2[[#This Row],[ASIN]],[1]Table1__2!$C:$E,3,FALSE)</f>
        <v>Wardrobe Organizer</v>
      </c>
      <c r="D374" t="s">
        <v>27</v>
      </c>
      <c r="E374" t="str">
        <f>VLOOKUP(Amazon_1P__2[[#This Row],[ASIN]],[2]Sheet1!$B:$E,4,FALSE)</f>
        <v>BJWZ0022-PCLG110-FBA</v>
      </c>
      <c r="F374">
        <v>0</v>
      </c>
      <c r="G374" s="8">
        <v>0</v>
      </c>
      <c r="H374" s="2" t="s">
        <v>113</v>
      </c>
    </row>
    <row r="375" spans="1:8" x14ac:dyDescent="0.25">
      <c r="A375" s="1">
        <v>45897</v>
      </c>
      <c r="B375" t="s">
        <v>82</v>
      </c>
      <c r="C375" t="str">
        <f>VLOOKUP(Amazon_1P__2[[#This Row],[ASIN]],[1]Table1__2!$C:$E,3,FALSE)</f>
        <v>Multipurpose Organizer</v>
      </c>
      <c r="D375" t="s">
        <v>27</v>
      </c>
      <c r="E375" t="str">
        <f>VLOOKUP(Amazon_1P__2[[#This Row],[ASIN]],'[1]Table1 (2)'!$A:$B,2,FALSE)</f>
        <v>BJMZ00011-PPWT08S</v>
      </c>
      <c r="F375">
        <v>0</v>
      </c>
      <c r="G375" s="8">
        <v>0</v>
      </c>
      <c r="H375" s="2" t="s">
        <v>113</v>
      </c>
    </row>
    <row r="376" spans="1:8" x14ac:dyDescent="0.25">
      <c r="A376" s="1">
        <v>45897</v>
      </c>
      <c r="B376" t="s">
        <v>46</v>
      </c>
      <c r="C376" t="str">
        <f>VLOOKUP(Amazon_1P__2[[#This Row],[ASIN]],[1]Table1__2!$C:$E,3,FALSE)</f>
        <v>Resin</v>
      </c>
      <c r="D376" t="s">
        <v>32</v>
      </c>
      <c r="E376" t="str">
        <f>VLOOKUP(Amazon_1P__2[[#This Row],[ASIN]],'[1]Table1 (2)'!$A:$B,2,FALSE)</f>
        <v>TK-RESINKIT-21-1500</v>
      </c>
      <c r="F376">
        <v>0</v>
      </c>
      <c r="G376" s="8">
        <v>0</v>
      </c>
      <c r="H376" s="2" t="s">
        <v>113</v>
      </c>
    </row>
    <row r="377" spans="1:8" x14ac:dyDescent="0.25">
      <c r="A377" s="1">
        <v>45897</v>
      </c>
      <c r="B377" t="s">
        <v>88</v>
      </c>
      <c r="C377" t="str">
        <f>VLOOKUP(Amazon_1P__2[[#This Row],[ASIN]],[1]Table1__2!$C:$E,3,FALSE)</f>
        <v>Wardrobe Organizer</v>
      </c>
      <c r="D377" t="s">
        <v>27</v>
      </c>
      <c r="E377" t="str">
        <f>VLOOKUP(Amazon_1P__2[[#This Row],[ASIN]],'[1]Table1 (2)'!$A:$B,2,FALSE)</f>
        <v>BJWZ0021-PCLG66L</v>
      </c>
      <c r="F377">
        <v>0</v>
      </c>
      <c r="G377" s="8">
        <v>0</v>
      </c>
      <c r="H377" s="2" t="s">
        <v>113</v>
      </c>
    </row>
    <row r="378" spans="1:8" x14ac:dyDescent="0.25">
      <c r="A378" s="1">
        <v>45897</v>
      </c>
      <c r="B378" t="s">
        <v>60</v>
      </c>
      <c r="C378" t="str">
        <f>VLOOKUP(Amazon_1P__2[[#This Row],[ASIN]],[1]Table1__2!$C:$E,3,FALSE)</f>
        <v>Tape</v>
      </c>
      <c r="D378" t="s">
        <v>32</v>
      </c>
      <c r="E378" t="str">
        <f>VLOOKUP(Amazon_1P__2[[#This Row],[ASIN]],'[1]Table1 (2)'!$A:$B,2,FALSE)</f>
        <v>TK-TAPE-ANTISKID-5M-50MM-TRANS-FBA</v>
      </c>
      <c r="F378">
        <v>0</v>
      </c>
      <c r="G378" s="8">
        <v>0</v>
      </c>
      <c r="H378" s="2" t="s">
        <v>113</v>
      </c>
    </row>
    <row r="379" spans="1:8" x14ac:dyDescent="0.25">
      <c r="A379" s="1">
        <v>45897</v>
      </c>
      <c r="B379" t="s">
        <v>43</v>
      </c>
      <c r="C379" t="str">
        <f>VLOOKUP(Amazon_1P__2[[#This Row],[ASIN]],[1]Table1__2!$C:$E,3,FALSE)</f>
        <v>Footwear Organizer</v>
      </c>
      <c r="D379" t="s">
        <v>27</v>
      </c>
      <c r="E379" t="str">
        <f>VLOOKUP(Amazon_1P__2[[#This Row],[ASIN]],'[1]Table1 (2)'!$A:$B,2,FALSE)</f>
        <v>BJFZ0012</v>
      </c>
      <c r="F379">
        <v>0</v>
      </c>
      <c r="G379" s="8">
        <v>0</v>
      </c>
      <c r="H379" s="2" t="s">
        <v>113</v>
      </c>
    </row>
    <row r="380" spans="1:8" x14ac:dyDescent="0.25">
      <c r="A380" s="1">
        <v>45897</v>
      </c>
      <c r="B380" t="s">
        <v>9</v>
      </c>
      <c r="C380" t="str">
        <f>VLOOKUP(Amazon_1P__2[[#This Row],[ASIN]],[1]Table1__2!$C:$E,3,FALSE)</f>
        <v>Footwear Organizer</v>
      </c>
      <c r="D380" t="s">
        <v>27</v>
      </c>
      <c r="E380" t="str">
        <f>VLOOKUP(Amazon_1P__2[[#This Row],[ASIN]],[2]Sheet1!$B:$E,4,FALSE)</f>
        <v>BJFZ0010-PPBT12S-CLOTHRACK</v>
      </c>
      <c r="F380">
        <v>0</v>
      </c>
      <c r="G380" s="8">
        <v>0</v>
      </c>
      <c r="H380" s="2" t="s">
        <v>113</v>
      </c>
    </row>
    <row r="381" spans="1:8" x14ac:dyDescent="0.25">
      <c r="A381" s="1">
        <v>45897</v>
      </c>
      <c r="B381" t="s">
        <v>108</v>
      </c>
      <c r="C381" t="str">
        <f>VLOOKUP(Amazon_1P__2[[#This Row],[ASIN]],[1]Table1__2!$C:$E,3,FALSE)</f>
        <v>Wardrobe Organizer</v>
      </c>
      <c r="D381" t="s">
        <v>27</v>
      </c>
      <c r="E381" t="str">
        <f>VLOOKUP(Amazon_1P__2[[#This Row],[ASIN]],'[1]Table1 (2)'!$A:$B,2,FALSE)</f>
        <v>BJWZ0012-PCLGSTL-P1</v>
      </c>
      <c r="F381">
        <v>0</v>
      </c>
      <c r="G381" s="8">
        <v>0</v>
      </c>
      <c r="H381" s="2" t="s">
        <v>113</v>
      </c>
    </row>
    <row r="382" spans="1:8" x14ac:dyDescent="0.25">
      <c r="A382" s="1">
        <v>45897</v>
      </c>
      <c r="B382" t="s">
        <v>54</v>
      </c>
      <c r="C382" t="str">
        <f>VLOOKUP(Amazon_1P__2[[#This Row],[ASIN]],[1]Table1__2!$C:$E,3,FALSE)</f>
        <v>Resin</v>
      </c>
      <c r="D382" t="s">
        <v>32</v>
      </c>
      <c r="E382" t="str">
        <f>VLOOKUP(Amazon_1P__2[[#This Row],[ASIN]],'[1]Table1 (2)'!$A:$B,2,FALSE)</f>
        <v>TK-RESINKIT-31-400</v>
      </c>
      <c r="F382">
        <v>0</v>
      </c>
      <c r="G382" s="8">
        <v>0</v>
      </c>
      <c r="H382" s="2" t="s">
        <v>113</v>
      </c>
    </row>
    <row r="383" spans="1:8" x14ac:dyDescent="0.25">
      <c r="A383" s="1">
        <v>45897</v>
      </c>
      <c r="B383" t="s">
        <v>69</v>
      </c>
      <c r="C383" t="str">
        <f>VLOOKUP(Amazon_1P__2[[#This Row],[ASIN]],[1]Table1__2!$C:$E,3,FALSE)</f>
        <v>Wardrobe Organizer</v>
      </c>
      <c r="D383" t="s">
        <v>27</v>
      </c>
      <c r="E383" t="str">
        <f>VLOOKUP(Amazon_1P__2[[#This Row],[ASIN]],'[1]Table1 (2)'!$A:$B,2,FALSE)</f>
        <v>BJWZ0008-PVTRSTL-P6</v>
      </c>
      <c r="F383">
        <v>0</v>
      </c>
      <c r="G383" s="8">
        <v>0</v>
      </c>
      <c r="H383" s="2" t="s">
        <v>113</v>
      </c>
    </row>
    <row r="384" spans="1:8" x14ac:dyDescent="0.25">
      <c r="A384" s="1">
        <v>45897</v>
      </c>
      <c r="B384" t="s">
        <v>1</v>
      </c>
      <c r="C384" t="str">
        <f>VLOOKUP(Amazon_1P__2[[#This Row],[ASIN]],[1]Table1__2!$C:$E,3,FALSE)</f>
        <v>Resin</v>
      </c>
      <c r="D384" t="s">
        <v>32</v>
      </c>
      <c r="E384" t="str">
        <f>VLOOKUP(Amazon_1P__2[[#This Row],[ASIN]],[2]Sheet1!$B:$E,4,FALSE)</f>
        <v>TK-RESIN-21-150-TWINCOASTER-FBA</v>
      </c>
      <c r="F384">
        <v>0</v>
      </c>
      <c r="G384" s="8">
        <v>0</v>
      </c>
      <c r="H384" s="2" t="s">
        <v>113</v>
      </c>
    </row>
    <row r="385" spans="1:8" x14ac:dyDescent="0.25">
      <c r="A385" s="1">
        <v>45897</v>
      </c>
      <c r="B385" t="s">
        <v>42</v>
      </c>
      <c r="C385" t="str">
        <f>VLOOKUP(Amazon_1P__2[[#This Row],[ASIN]],[1]Table1__2!$C:$E,3,FALSE)</f>
        <v>Wardrobe Organizer</v>
      </c>
      <c r="D385" t="s">
        <v>27</v>
      </c>
      <c r="E385" t="str">
        <f>VLOOKUP(Amazon_1P__2[[#This Row],[ASIN]],[2]Sheet1!$B:$E,4,FALSE)</f>
        <v>BJWZ0026-VBTRMLJ-FBA</v>
      </c>
      <c r="F385">
        <v>0</v>
      </c>
      <c r="G385" s="8">
        <v>0</v>
      </c>
      <c r="H385" s="2" t="s">
        <v>113</v>
      </c>
    </row>
    <row r="386" spans="1:8" x14ac:dyDescent="0.25">
      <c r="A386" s="1">
        <v>45897</v>
      </c>
      <c r="B386" t="s">
        <v>72</v>
      </c>
      <c r="C386" t="str">
        <f>VLOOKUP(Amazon_1P__2[[#This Row],[ASIN]],[1]Table1__2!$C:$E,3,FALSE)</f>
        <v>Footwear Organizer</v>
      </c>
      <c r="D386" t="s">
        <v>27</v>
      </c>
      <c r="E386" t="str">
        <f>VLOOKUP(Amazon_1P__2[[#This Row],[ASIN]],'[1]Table1 (2)'!$A:$B,2,FALSE)</f>
        <v>BJFZ0014</v>
      </c>
      <c r="F386">
        <v>0</v>
      </c>
      <c r="G386" s="8">
        <v>0</v>
      </c>
      <c r="H386" s="2" t="s">
        <v>113</v>
      </c>
    </row>
    <row r="387" spans="1:8" x14ac:dyDescent="0.25">
      <c r="A387" s="1">
        <v>45897</v>
      </c>
      <c r="B387" t="s">
        <v>79</v>
      </c>
      <c r="C387" t="str">
        <f>VLOOKUP(Amazon_1P__2[[#This Row],[ASIN]],[1]Table1__2!$C:$E,3,FALSE)</f>
        <v>Tape</v>
      </c>
      <c r="D387" t="s">
        <v>32</v>
      </c>
      <c r="E387" t="str">
        <f>VLOOKUP(Amazon_1P__2[[#This Row],[ASIN]],'[1]Table1 (2)'!$A:$B,2,FALSE)</f>
        <v>TK-TAPE-VASTU-GREEN-4INCH-15MTR</v>
      </c>
      <c r="F387">
        <v>0</v>
      </c>
      <c r="G387" s="8">
        <v>0</v>
      </c>
      <c r="H387" s="2" t="s">
        <v>113</v>
      </c>
    </row>
    <row r="388" spans="1:8" x14ac:dyDescent="0.25">
      <c r="A388" s="1">
        <v>45897</v>
      </c>
      <c r="B388" t="s">
        <v>64</v>
      </c>
      <c r="C388" t="str">
        <f>VLOOKUP(Amazon_1P__2[[#This Row],[ASIN]],[1]Table1__2!$C:$E,3,FALSE)</f>
        <v>Tape</v>
      </c>
      <c r="D388" t="s">
        <v>32</v>
      </c>
      <c r="E388" t="str">
        <f>VLOOKUP(Amazon_1P__2[[#This Row],[ASIN]],'[1]Table1 (2)'!$A:$B,2,FALSE)</f>
        <v>TK-TAPE-KRAFTPAPER-50M-2INCH</v>
      </c>
      <c r="F388">
        <v>0</v>
      </c>
      <c r="G388" s="8">
        <v>0</v>
      </c>
      <c r="H388" s="2" t="s">
        <v>113</v>
      </c>
    </row>
    <row r="389" spans="1:8" x14ac:dyDescent="0.25">
      <c r="A389" s="1">
        <v>45897</v>
      </c>
      <c r="B389" t="s">
        <v>83</v>
      </c>
      <c r="C389" t="str">
        <f>VLOOKUP(Amazon_1P__2[[#This Row],[ASIN]],[1]Table1__2!$C:$E,3,FALSE)</f>
        <v>Wardrobe Organizer</v>
      </c>
      <c r="D389" t="s">
        <v>27</v>
      </c>
      <c r="E389" t="str">
        <f>VLOOKUP(Amazon_1P__2[[#This Row],[ASIN]],'[1]Table1 (2)'!$A:$B,2,FALSE)</f>
        <v>BJWZ0012-PCLGSTL-P6</v>
      </c>
      <c r="F389">
        <v>0</v>
      </c>
      <c r="G389" s="8">
        <v>0</v>
      </c>
      <c r="H389" s="2" t="s">
        <v>113</v>
      </c>
    </row>
    <row r="390" spans="1:8" x14ac:dyDescent="0.25">
      <c r="A390" s="1">
        <v>45897</v>
      </c>
      <c r="B390" t="s">
        <v>95</v>
      </c>
      <c r="C390" t="str">
        <f>VLOOKUP(Amazon_1P__2[[#This Row],[ASIN]],[1]Table1__2!$C:$E,3,FALSE)</f>
        <v>Footwear Organizer</v>
      </c>
      <c r="D390" t="s">
        <v>27</v>
      </c>
      <c r="E390" t="str">
        <f>VLOOKUP(Amazon_1P__2[[#This Row],[ASIN]],'[1]Table1 (2)'!$A:$B,2,FALSE)</f>
        <v>BJFZ0014-PPWW5S-CLOTHRACK</v>
      </c>
      <c r="F390">
        <v>0</v>
      </c>
      <c r="G390" s="8">
        <v>0</v>
      </c>
      <c r="H390" s="2" t="s">
        <v>113</v>
      </c>
    </row>
    <row r="391" spans="1:8" x14ac:dyDescent="0.25">
      <c r="A391" s="1">
        <v>45897</v>
      </c>
      <c r="B391" t="s">
        <v>81</v>
      </c>
      <c r="C391" t="str">
        <f>VLOOKUP(Amazon_1P__2[[#This Row],[ASIN]],[1]Table1__2!$C:$E,3,FALSE)</f>
        <v>Tape</v>
      </c>
      <c r="D391" t="s">
        <v>32</v>
      </c>
      <c r="E391" t="str">
        <f>VLOOKUP(Amazon_1P__2[[#This Row],[ASIN]],'[1]Table1 (2)'!$A:$B,2,FALSE)</f>
        <v>TK-TAPE-BOPP-TRANS-65M-3INCH-P1</v>
      </c>
      <c r="F391">
        <v>0</v>
      </c>
      <c r="G391" s="8">
        <v>0</v>
      </c>
      <c r="H391" s="2" t="s">
        <v>113</v>
      </c>
    </row>
    <row r="392" spans="1:8" x14ac:dyDescent="0.25">
      <c r="A392" s="1">
        <v>45897</v>
      </c>
      <c r="B392" t="s">
        <v>62</v>
      </c>
      <c r="C392" t="str">
        <f>VLOOKUP(Amazon_1P__2[[#This Row],[ASIN]],[1]Table1__2!$C:$E,3,FALSE)</f>
        <v>Tape</v>
      </c>
      <c r="D392" t="s">
        <v>32</v>
      </c>
      <c r="E392" t="str">
        <f>VLOOKUP(Amazon_1P__2[[#This Row],[ASIN]],'[1]Table1 (2)'!$A:$B,2,FALSE)</f>
        <v>TK-TAPE-ANTISKID-5M-50MM-YL-BLACK-FBA</v>
      </c>
      <c r="F392">
        <v>0</v>
      </c>
      <c r="G392" s="8">
        <v>0</v>
      </c>
      <c r="H392" s="2" t="s">
        <v>113</v>
      </c>
    </row>
    <row r="393" spans="1:8" x14ac:dyDescent="0.25">
      <c r="A393" s="1">
        <v>45897</v>
      </c>
      <c r="B393" t="s">
        <v>2</v>
      </c>
      <c r="C393" t="str">
        <f>VLOOKUP(Amazon_1P__2[[#This Row],[ASIN]],[1]Table1__2!$C:$E,3,FALSE)</f>
        <v>Face Care</v>
      </c>
      <c r="D393" t="s">
        <v>34</v>
      </c>
      <c r="E393" t="str">
        <f>VLOOKUP(Amazon_1P__2[[#This Row],[ASIN]],[2]Sheet1!$B:$E,4,FALSE)</f>
        <v>PRFCFW001-100-P1-FBA</v>
      </c>
      <c r="F393">
        <v>0</v>
      </c>
      <c r="G393" s="8">
        <v>0</v>
      </c>
      <c r="H393" s="2" t="s">
        <v>113</v>
      </c>
    </row>
    <row r="394" spans="1:8" x14ac:dyDescent="0.25">
      <c r="A394" s="1">
        <v>45897</v>
      </c>
      <c r="B394" t="s">
        <v>84</v>
      </c>
      <c r="C394" t="str">
        <f>VLOOKUP(Amazon_1P__2[[#This Row],[ASIN]],[1]Table1__2!$C:$E,3,FALSE)</f>
        <v>Resin</v>
      </c>
      <c r="D394" t="s">
        <v>32</v>
      </c>
      <c r="E394" t="str">
        <f>VLOOKUP(Amazon_1P__2[[#This Row],[ASIN]],'[1]Table1 (2)'!$A:$B,2,FALSE)</f>
        <v>TK-RESINKIT-21-750</v>
      </c>
      <c r="F394">
        <v>0</v>
      </c>
      <c r="G394" s="8">
        <v>0</v>
      </c>
      <c r="H394" s="2" t="s">
        <v>113</v>
      </c>
    </row>
    <row r="395" spans="1:8" x14ac:dyDescent="0.25">
      <c r="A395" s="1">
        <v>45893</v>
      </c>
      <c r="B395" s="4" t="s">
        <v>0</v>
      </c>
      <c r="C395" t="str">
        <f>VLOOKUP(Amazon_1P__2[[#This Row],[ASIN]],[1]Table1__2!$C:$E,3,FALSE)</f>
        <v>Body Care</v>
      </c>
      <c r="D395" s="4" t="str">
        <f>VLOOKUP(B395,[2]Sheet1!$B:$D,3,)</f>
        <v>PROWL</v>
      </c>
      <c r="E395" s="4" t="s">
        <v>114</v>
      </c>
      <c r="F395" s="4">
        <v>35</v>
      </c>
      <c r="G395" s="9">
        <v>9100</v>
      </c>
      <c r="H395" s="3" t="s">
        <v>115</v>
      </c>
    </row>
    <row r="396" spans="1:8" x14ac:dyDescent="0.25">
      <c r="A396" s="1">
        <v>45893</v>
      </c>
      <c r="B396" s="4" t="s">
        <v>116</v>
      </c>
      <c r="C396" t="str">
        <f>VLOOKUP(Amazon_1P__2[[#This Row],[ASIN]],[1]Table1__2!$C:$E,3,FALSE)</f>
        <v>Stretch Film</v>
      </c>
      <c r="D396" s="4" t="str">
        <f>VLOOKUP(Amazon_1P__2[[#This Row],[ASIN]],'[1]Table1 (2)'!$A:$C,3,FALSE)</f>
        <v>TRENDIKRAFT</v>
      </c>
      <c r="E396" s="4" t="s">
        <v>117</v>
      </c>
      <c r="F396" s="4">
        <v>25</v>
      </c>
      <c r="G396" s="9">
        <v>9594</v>
      </c>
      <c r="H396" s="3" t="s">
        <v>115</v>
      </c>
    </row>
    <row r="397" spans="1:8" x14ac:dyDescent="0.25">
      <c r="A397" s="1">
        <v>45893</v>
      </c>
      <c r="B397" s="4" t="s">
        <v>1</v>
      </c>
      <c r="C397" t="str">
        <f>VLOOKUP(Amazon_1P__2[[#This Row],[ASIN]],[1]Table1__2!$C:$E,3,FALSE)</f>
        <v>Resin</v>
      </c>
      <c r="D397" s="4" t="str">
        <f>VLOOKUP(B397,[2]Sheet1!$B:$D,3,FALSE)</f>
        <v>TRENDIKRAFT</v>
      </c>
      <c r="E397" s="4" t="s">
        <v>118</v>
      </c>
      <c r="F397" s="4">
        <v>22</v>
      </c>
      <c r="G397" s="9">
        <v>11477</v>
      </c>
      <c r="H397" s="3" t="s">
        <v>115</v>
      </c>
    </row>
    <row r="398" spans="1:8" x14ac:dyDescent="0.25">
      <c r="A398" s="1">
        <v>45893</v>
      </c>
      <c r="B398" s="4" t="s">
        <v>2</v>
      </c>
      <c r="C398" t="str">
        <f>VLOOKUP(Amazon_1P__2[[#This Row],[ASIN]],[1]Table1__2!$C:$E,3,FALSE)</f>
        <v>Face Care</v>
      </c>
      <c r="D398" s="4" t="str">
        <f>VLOOKUP(B398,[2]Sheet1!$B:$D,3,FALSE)</f>
        <v>PROWL</v>
      </c>
      <c r="E398" s="4" t="s">
        <v>119</v>
      </c>
      <c r="F398" s="4">
        <v>13</v>
      </c>
      <c r="G398" s="9">
        <v>2730</v>
      </c>
      <c r="H398" s="3" t="s">
        <v>115</v>
      </c>
    </row>
    <row r="399" spans="1:8" x14ac:dyDescent="0.25">
      <c r="A399" s="1">
        <v>45893</v>
      </c>
      <c r="B399" s="4" t="s">
        <v>3</v>
      </c>
      <c r="C399" t="str">
        <f>VLOOKUP(Amazon_1P__2[[#This Row],[ASIN]],[1]Table1__2!$C:$E,3,FALSE)</f>
        <v>Face Care</v>
      </c>
      <c r="D399" s="4" t="str">
        <f>VLOOKUP(B399,[2]Sheet1!$B:$D,3,FALSE)</f>
        <v>PROWL</v>
      </c>
      <c r="E399" s="4" t="s">
        <v>120</v>
      </c>
      <c r="F399" s="4">
        <v>11</v>
      </c>
      <c r="G399" s="9">
        <v>2310</v>
      </c>
      <c r="H399" s="3" t="s">
        <v>115</v>
      </c>
    </row>
    <row r="400" spans="1:8" x14ac:dyDescent="0.25">
      <c r="A400" s="1">
        <v>45893</v>
      </c>
      <c r="B400" s="4" t="s">
        <v>4</v>
      </c>
      <c r="C400" t="str">
        <f>VLOOKUP(Amazon_1P__2[[#This Row],[ASIN]],[1]Table1__2!$C:$E,3,FALSE)</f>
        <v>Body Care</v>
      </c>
      <c r="D400" s="4" t="str">
        <f>VLOOKUP(B400,[2]Sheet1!$B:$D,3,FALSE)</f>
        <v>PROWL</v>
      </c>
      <c r="E400" s="4" t="s">
        <v>121</v>
      </c>
      <c r="F400" s="4">
        <v>10</v>
      </c>
      <c r="G400" s="9">
        <v>2100</v>
      </c>
      <c r="H400" s="3" t="s">
        <v>115</v>
      </c>
    </row>
    <row r="401" spans="1:8" x14ac:dyDescent="0.25">
      <c r="A401" s="1">
        <v>45893</v>
      </c>
      <c r="B401" s="4" t="s">
        <v>5</v>
      </c>
      <c r="C401" t="str">
        <f>VLOOKUP(Amazon_1P__2[[#This Row],[ASIN]],[1]Table1__2!$C:$E,3,FALSE)</f>
        <v>Wardrobe Organizer</v>
      </c>
      <c r="D401" s="4" t="str">
        <f>VLOOKUP(B401,[2]Sheet1!$B:$D,3,FALSE)</f>
        <v>BOXJOY</v>
      </c>
      <c r="E401" s="4" t="s">
        <v>122</v>
      </c>
      <c r="F401" s="4">
        <v>9</v>
      </c>
      <c r="G401" s="9">
        <v>3591</v>
      </c>
      <c r="H401" s="3" t="s">
        <v>115</v>
      </c>
    </row>
    <row r="402" spans="1:8" x14ac:dyDescent="0.25">
      <c r="A402" s="1">
        <v>45893</v>
      </c>
      <c r="B402" s="4" t="s">
        <v>123</v>
      </c>
      <c r="C402" t="str">
        <f>VLOOKUP(Amazon_1P__2[[#This Row],[ASIN]],[1]Table1__2!$C:$E,3,FALSE)</f>
        <v>Steel Bottle</v>
      </c>
      <c r="D402" s="4" t="str">
        <f>VLOOKUP(Amazon_1P__2[[#This Row],[ASIN]],'[1]Table1 (2)'!$A:$C,3,FALSE)</f>
        <v>EB-Everything Beautiful</v>
      </c>
      <c r="E402" s="4" t="s">
        <v>124</v>
      </c>
      <c r="F402" s="4">
        <v>8</v>
      </c>
      <c r="G402" s="9">
        <v>4279</v>
      </c>
      <c r="H402" s="3" t="s">
        <v>115</v>
      </c>
    </row>
    <row r="403" spans="1:8" x14ac:dyDescent="0.25">
      <c r="A403" s="1">
        <v>45893</v>
      </c>
      <c r="B403" s="4" t="s">
        <v>6</v>
      </c>
      <c r="C403" t="str">
        <f>VLOOKUP(Amazon_1P__2[[#This Row],[ASIN]],[1]Table1__2!$C:$E,3,FALSE)</f>
        <v>Wardrobe Organizer</v>
      </c>
      <c r="D403" s="4" t="str">
        <f>VLOOKUP(B403,[2]Sheet1!$B:$D,3,FALSE)</f>
        <v>BOXJOY</v>
      </c>
      <c r="E403" s="4" t="s">
        <v>125</v>
      </c>
      <c r="F403" s="4">
        <v>5</v>
      </c>
      <c r="G403" s="9">
        <v>5394</v>
      </c>
      <c r="H403" s="3" t="s">
        <v>115</v>
      </c>
    </row>
    <row r="404" spans="1:8" x14ac:dyDescent="0.25">
      <c r="A404" s="1">
        <v>45893</v>
      </c>
      <c r="B404" s="4" t="s">
        <v>7</v>
      </c>
      <c r="C404" t="str">
        <f>VLOOKUP(Amazon_1P__2[[#This Row],[ASIN]],[1]Table1__2!$C:$E,3,FALSE)</f>
        <v>Wardrobe Organizer</v>
      </c>
      <c r="D404" s="4" t="str">
        <f>VLOOKUP(B404,[2]Sheet1!$B:$D,3,FALSE)</f>
        <v>BOXJOY</v>
      </c>
      <c r="E404" s="4" t="s">
        <v>126</v>
      </c>
      <c r="F404" s="4">
        <v>5</v>
      </c>
      <c r="G404" s="9">
        <v>2745</v>
      </c>
      <c r="H404" s="3" t="s">
        <v>115</v>
      </c>
    </row>
    <row r="405" spans="1:8" x14ac:dyDescent="0.25">
      <c r="A405" s="1">
        <v>45893</v>
      </c>
      <c r="B405" s="4" t="s">
        <v>127</v>
      </c>
      <c r="C405" t="str">
        <f>VLOOKUP(Amazon_1P__2[[#This Row],[ASIN]],[1]Table1__2!$C:$E,3,FALSE)</f>
        <v>Steel Bottle</v>
      </c>
      <c r="D405" s="4" t="str">
        <f>VLOOKUP(Amazon_1P__2[[#This Row],[ASIN]],'[1]Table1 (2)'!$A:$C,3,FALSE)</f>
        <v>EB-Everything Beautiful</v>
      </c>
      <c r="E405" s="4" t="s">
        <v>128</v>
      </c>
      <c r="F405" s="4">
        <v>5</v>
      </c>
      <c r="G405" s="9">
        <v>2274</v>
      </c>
      <c r="H405" s="3" t="s">
        <v>115</v>
      </c>
    </row>
    <row r="406" spans="1:8" x14ac:dyDescent="0.25">
      <c r="A406" s="1">
        <v>45893</v>
      </c>
      <c r="B406" s="4" t="s">
        <v>129</v>
      </c>
      <c r="C406" t="str">
        <f>VLOOKUP(Amazon_1P__2[[#This Row],[ASIN]],[1]Table1__2!$C:$E,3,FALSE)</f>
        <v>Steel Bottle</v>
      </c>
      <c r="D406" s="4" t="str">
        <f>VLOOKUP(Amazon_1P__2[[#This Row],[ASIN]],'[1]Table1 (2)'!$A:$C,3,FALSE)</f>
        <v>EB-Everything Beautiful</v>
      </c>
      <c r="E406" s="4" t="s">
        <v>130</v>
      </c>
      <c r="F406" s="4">
        <v>3</v>
      </c>
      <c r="G406" s="9">
        <v>1137</v>
      </c>
      <c r="H406" s="3" t="s">
        <v>115</v>
      </c>
    </row>
    <row r="407" spans="1:8" x14ac:dyDescent="0.25">
      <c r="A407" s="1">
        <v>45893</v>
      </c>
      <c r="B407" s="4" t="s">
        <v>8</v>
      </c>
      <c r="C407" t="str">
        <f>VLOOKUP(Amazon_1P__2[[#This Row],[ASIN]],[1]Table1__2!$C:$E,3,FALSE)</f>
        <v>Face Care</v>
      </c>
      <c r="D407" s="4" t="str">
        <f>VLOOKUP(B407,[2]Sheet1!$B:$D,3,FALSE)</f>
        <v>PROWL</v>
      </c>
      <c r="E407" s="4" t="s">
        <v>131</v>
      </c>
      <c r="F407" s="4">
        <v>3</v>
      </c>
      <c r="G407" s="9">
        <v>630</v>
      </c>
      <c r="H407" s="3" t="s">
        <v>115</v>
      </c>
    </row>
    <row r="408" spans="1:8" x14ac:dyDescent="0.25">
      <c r="A408" s="1">
        <v>45893</v>
      </c>
      <c r="B408" s="4" t="s">
        <v>0</v>
      </c>
      <c r="C408" t="str">
        <f>VLOOKUP(Amazon_1P__2[[#This Row],[ASIN]],[1]Table1__2!$C:$E,3,FALSE)</f>
        <v>Body Care</v>
      </c>
      <c r="D408" s="4" t="str">
        <f>VLOOKUP(B408,[2]Sheet1!$B:$D,3,FALSE)</f>
        <v>PROWL</v>
      </c>
      <c r="E408" s="4" t="s">
        <v>132</v>
      </c>
      <c r="F408" s="4">
        <v>3</v>
      </c>
      <c r="G408" s="9">
        <v>778.42</v>
      </c>
      <c r="H408" s="3" t="s">
        <v>115</v>
      </c>
    </row>
    <row r="409" spans="1:8" x14ac:dyDescent="0.25">
      <c r="A409" s="1">
        <v>45893</v>
      </c>
      <c r="B409" s="4" t="s">
        <v>9</v>
      </c>
      <c r="C409" t="str">
        <f>VLOOKUP(Amazon_1P__2[[#This Row],[ASIN]],[1]Table1__2!$C:$E,3,FALSE)</f>
        <v>Footwear Organizer</v>
      </c>
      <c r="D409" s="4" t="str">
        <f>VLOOKUP(B409,[2]Sheet1!$B:$D,3,FALSE)</f>
        <v>BOXJOY</v>
      </c>
      <c r="E409" s="4" t="s">
        <v>133</v>
      </c>
      <c r="F409" s="4">
        <v>2</v>
      </c>
      <c r="G409" s="9">
        <v>5798</v>
      </c>
      <c r="H409" s="3" t="s">
        <v>115</v>
      </c>
    </row>
    <row r="410" spans="1:8" x14ac:dyDescent="0.25">
      <c r="A410" s="1">
        <v>45893</v>
      </c>
      <c r="B410" s="4" t="s">
        <v>10</v>
      </c>
      <c r="C410" t="str">
        <f>VLOOKUP(Amazon_1P__2[[#This Row],[ASIN]],[1]Table1__2!$C:$E,3,FALSE)</f>
        <v>Drawer Organizer</v>
      </c>
      <c r="D410" s="4" t="str">
        <f>VLOOKUP(B410,[2]Sheet1!$B:$D,3,FALSE)</f>
        <v>BOXJOY</v>
      </c>
      <c r="E410" s="4" t="s">
        <v>134</v>
      </c>
      <c r="F410" s="4">
        <v>2</v>
      </c>
      <c r="G410" s="9">
        <v>1598</v>
      </c>
      <c r="H410" s="3" t="s">
        <v>115</v>
      </c>
    </row>
    <row r="411" spans="1:8" x14ac:dyDescent="0.25">
      <c r="A411" s="1">
        <v>45893</v>
      </c>
      <c r="B411" s="4" t="s">
        <v>11</v>
      </c>
      <c r="C411" t="str">
        <f>VLOOKUP(Amazon_1P__2[[#This Row],[ASIN]],[1]Table1__2!$C:$E,3,FALSE)</f>
        <v>Wardrobe Organizer</v>
      </c>
      <c r="D411" s="4" t="str">
        <f>VLOOKUP(B411,[2]Sheet1!$B:$D,3,FALSE)</f>
        <v>BOXJOY</v>
      </c>
      <c r="E411" s="4" t="s">
        <v>135</v>
      </c>
      <c r="F411" s="4">
        <v>2</v>
      </c>
      <c r="G411" s="9">
        <v>1998</v>
      </c>
      <c r="H411" s="3" t="s">
        <v>115</v>
      </c>
    </row>
    <row r="412" spans="1:8" x14ac:dyDescent="0.25">
      <c r="A412" s="1">
        <v>45893</v>
      </c>
      <c r="B412" s="4" t="s">
        <v>136</v>
      </c>
      <c r="C412" t="str">
        <f>VLOOKUP(Amazon_1P__2[[#This Row],[ASIN]],[1]Table1__2!$C:$E,3,FALSE)</f>
        <v>Pet Organizer</v>
      </c>
      <c r="D412" s="4" t="str">
        <f>VLOOKUP(Amazon_1P__2[[#This Row],[ASIN]],'[1]Table1 (2)'!$A:$C,3,FALSE)</f>
        <v>BOXJOY</v>
      </c>
      <c r="E412" s="4" t="s">
        <v>137</v>
      </c>
      <c r="F412" s="4">
        <v>2</v>
      </c>
      <c r="G412" s="9">
        <v>2598</v>
      </c>
      <c r="H412" s="3" t="s">
        <v>115</v>
      </c>
    </row>
    <row r="413" spans="1:8" x14ac:dyDescent="0.25">
      <c r="A413" s="1">
        <v>45893</v>
      </c>
      <c r="B413" s="4" t="s">
        <v>138</v>
      </c>
      <c r="C413" t="str">
        <f>VLOOKUP(Amazon_1P__2[[#This Row],[ASIN]],[1]Table1__2!$C:$E,3,FALSE)</f>
        <v>Copper Bottle</v>
      </c>
      <c r="D413" s="4" t="str">
        <f>VLOOKUP(Amazon_1P__2[[#This Row],[ASIN]],'[1]Table1 (2)'!$A:$C,3,FALSE)</f>
        <v>EB-Everything Beautiful</v>
      </c>
      <c r="E413" s="4" t="s">
        <v>139</v>
      </c>
      <c r="F413" s="4">
        <v>1</v>
      </c>
      <c r="G413" s="9">
        <v>925</v>
      </c>
      <c r="H413" s="3" t="s">
        <v>115</v>
      </c>
    </row>
    <row r="414" spans="1:8" x14ac:dyDescent="0.25">
      <c r="A414" s="1">
        <v>45893</v>
      </c>
      <c r="B414" s="4" t="s">
        <v>140</v>
      </c>
      <c r="C414" t="str">
        <f>VLOOKUP(Amazon_1P__2[[#This Row],[ASIN]],[1]Table1__2!$C:$E,3,FALSE)</f>
        <v>Steel Bottle</v>
      </c>
      <c r="D414" s="4" t="str">
        <f>VLOOKUP(Amazon_1P__2[[#This Row],[ASIN]],'[1]Table1 (2)'!$A:$C,3,FALSE)</f>
        <v>EB-Everything Beautiful</v>
      </c>
      <c r="E414" s="4" t="s">
        <v>141</v>
      </c>
      <c r="F414" s="4">
        <v>1</v>
      </c>
      <c r="G414" s="9">
        <v>819</v>
      </c>
      <c r="H414" s="3" t="s">
        <v>115</v>
      </c>
    </row>
    <row r="415" spans="1:8" x14ac:dyDescent="0.25">
      <c r="A415" s="1">
        <v>45893</v>
      </c>
      <c r="B415" s="4" t="s">
        <v>142</v>
      </c>
      <c r="C415" t="s">
        <v>223</v>
      </c>
      <c r="D415" s="5" t="s">
        <v>103</v>
      </c>
      <c r="E415" s="4" t="s">
        <v>143</v>
      </c>
      <c r="F415" s="4">
        <v>1</v>
      </c>
      <c r="G415" s="9">
        <v>409</v>
      </c>
      <c r="H415" s="3" t="s">
        <v>115</v>
      </c>
    </row>
    <row r="416" spans="1:8" x14ac:dyDescent="0.25">
      <c r="A416" s="1">
        <v>45893</v>
      </c>
      <c r="B416" s="4" t="s">
        <v>12</v>
      </c>
      <c r="C416" t="str">
        <f>VLOOKUP(Amazon_1P__2[[#This Row],[ASIN]],[1]Table1__2!$C:$E,3,FALSE)</f>
        <v>Resin</v>
      </c>
      <c r="D416" s="4" t="str">
        <f>VLOOKUP(B416,[2]Sheet1!$B:$D,3,FALSE)</f>
        <v>TRENDIKRAFT</v>
      </c>
      <c r="E416" s="4" t="s">
        <v>144</v>
      </c>
      <c r="F416" s="4">
        <v>1</v>
      </c>
      <c r="G416" s="9">
        <v>0</v>
      </c>
      <c r="H416" s="3" t="s">
        <v>115</v>
      </c>
    </row>
    <row r="417" spans="1:8" x14ac:dyDescent="0.25">
      <c r="A417" s="1">
        <v>45893</v>
      </c>
      <c r="B417" s="4" t="s">
        <v>145</v>
      </c>
      <c r="C417" t="str">
        <f>VLOOKUP(Amazon_1P__2[[#This Row],[ASIN]],[1]Table1__2!$C:$E,3,FALSE)</f>
        <v>Steel Bottle</v>
      </c>
      <c r="D417" s="4" t="str">
        <f>VLOOKUP(Amazon_1P__2[[#This Row],[ASIN]],'[1]Table1 (2)'!$A:$C,3,FALSE)</f>
        <v>EB-Everything Beautiful</v>
      </c>
      <c r="E417" s="4" t="s">
        <v>146</v>
      </c>
      <c r="F417" s="4">
        <v>1</v>
      </c>
      <c r="G417" s="9">
        <v>379</v>
      </c>
      <c r="H417" s="3" t="s">
        <v>115</v>
      </c>
    </row>
    <row r="418" spans="1:8" x14ac:dyDescent="0.25">
      <c r="A418" s="1">
        <v>45893</v>
      </c>
      <c r="B418" s="4" t="s">
        <v>145</v>
      </c>
      <c r="C418" t="str">
        <f>VLOOKUP(Amazon_1P__2[[#This Row],[ASIN]],[1]Table1__2!$C:$E,3,FALSE)</f>
        <v>Steel Bottle</v>
      </c>
      <c r="D418" s="4" t="str">
        <f>VLOOKUP(Amazon_1P__2[[#This Row],[ASIN]],'[1]Table1 (2)'!$A:$C,3,FALSE)</f>
        <v>EB-Everything Beautiful</v>
      </c>
      <c r="E418" s="4" t="s">
        <v>147</v>
      </c>
      <c r="F418" s="4">
        <v>1</v>
      </c>
      <c r="G418" s="9">
        <v>441</v>
      </c>
      <c r="H418" s="3" t="s">
        <v>115</v>
      </c>
    </row>
    <row r="419" spans="1:8" x14ac:dyDescent="0.25">
      <c r="A419" s="1">
        <v>45893</v>
      </c>
      <c r="B419" s="4" t="s">
        <v>123</v>
      </c>
      <c r="C419" t="str">
        <f>VLOOKUP(Amazon_1P__2[[#This Row],[ASIN]],[1]Table1__2!$C:$E,3,FALSE)</f>
        <v>Steel Bottle</v>
      </c>
      <c r="D419" s="4" t="str">
        <f>VLOOKUP(Amazon_1P__2[[#This Row],[ASIN]],'[1]Table1 (2)'!$A:$C,3,FALSE)</f>
        <v>EB-Everything Beautiful</v>
      </c>
      <c r="E419" s="4" t="s">
        <v>148</v>
      </c>
      <c r="F419" s="4">
        <v>1</v>
      </c>
      <c r="G419" s="9">
        <v>389</v>
      </c>
      <c r="H419" s="3" t="s">
        <v>115</v>
      </c>
    </row>
    <row r="420" spans="1:8" x14ac:dyDescent="0.25">
      <c r="A420" s="1">
        <v>45893</v>
      </c>
      <c r="B420" s="4" t="s">
        <v>13</v>
      </c>
      <c r="C420" t="str">
        <f>VLOOKUP(Amazon_1P__2[[#This Row],[ASIN]],[1]Table1__2!$C:$E,3,FALSE)</f>
        <v>Wardrobe Organizer</v>
      </c>
      <c r="D420" s="4" t="str">
        <f>VLOOKUP(B420,[2]Sheet1!$B:$D,3,FALSE)</f>
        <v>BOXJOY</v>
      </c>
      <c r="E420" s="4" t="s">
        <v>149</v>
      </c>
      <c r="F420" s="4">
        <v>1</v>
      </c>
      <c r="G420" s="9">
        <v>2225</v>
      </c>
      <c r="H420" s="3" t="s">
        <v>115</v>
      </c>
    </row>
    <row r="421" spans="1:8" x14ac:dyDescent="0.25">
      <c r="A421" s="1">
        <v>45893</v>
      </c>
      <c r="B421" s="4" t="s">
        <v>14</v>
      </c>
      <c r="C421" t="str">
        <f>VLOOKUP(Amazon_1P__2[[#This Row],[ASIN]],[1]Table1__2!$C:$E,3,FALSE)</f>
        <v>Wardrobe Organizer</v>
      </c>
      <c r="D421" s="4" t="str">
        <f>VLOOKUP(B421,[2]Sheet1!$B:$D,3,FALSE)</f>
        <v>BOXJOY</v>
      </c>
      <c r="E421" s="4" t="s">
        <v>150</v>
      </c>
      <c r="F421" s="4">
        <v>1</v>
      </c>
      <c r="G421" s="9">
        <v>749</v>
      </c>
      <c r="H421" s="3" t="s">
        <v>115</v>
      </c>
    </row>
    <row r="422" spans="1:8" x14ac:dyDescent="0.25">
      <c r="A422" s="1">
        <v>45893</v>
      </c>
      <c r="B422" s="4" t="s">
        <v>15</v>
      </c>
      <c r="C422" t="str">
        <f>VLOOKUP(Amazon_1P__2[[#This Row],[ASIN]],[1]Table1__2!$C:$E,3,FALSE)</f>
        <v>Wardrobe Organizer</v>
      </c>
      <c r="D422" s="4" t="str">
        <f>VLOOKUP(B422,[2]Sheet1!$B:$D,3,FALSE)</f>
        <v>BOXJOY</v>
      </c>
      <c r="E422" s="4" t="s">
        <v>151</v>
      </c>
      <c r="F422" s="4">
        <v>1</v>
      </c>
      <c r="G422" s="9">
        <v>559</v>
      </c>
      <c r="H422" s="3" t="s">
        <v>115</v>
      </c>
    </row>
    <row r="423" spans="1:8" x14ac:dyDescent="0.25">
      <c r="A423" s="1">
        <v>45893</v>
      </c>
      <c r="B423" s="4" t="s">
        <v>16</v>
      </c>
      <c r="C423" t="str">
        <f>VLOOKUP(Amazon_1P__2[[#This Row],[ASIN]],[1]Table1__2!$C:$E,3,FALSE)</f>
        <v>Wardrobe Organizer</v>
      </c>
      <c r="D423" s="4" t="str">
        <f>VLOOKUP(B423,[2]Sheet1!$B:$D,3,FALSE)</f>
        <v>BOXJOY</v>
      </c>
      <c r="E423" s="4" t="s">
        <v>152</v>
      </c>
      <c r="F423" s="4">
        <v>1</v>
      </c>
      <c r="G423" s="9">
        <v>1377</v>
      </c>
      <c r="H423" s="3" t="s">
        <v>115</v>
      </c>
    </row>
    <row r="424" spans="1:8" x14ac:dyDescent="0.25">
      <c r="A424" s="1">
        <v>45893</v>
      </c>
      <c r="B424" s="4" t="s">
        <v>17</v>
      </c>
      <c r="C424" t="str">
        <f>VLOOKUP(Amazon_1P__2[[#This Row],[ASIN]],[1]Table1__2!$C:$E,3,FALSE)</f>
        <v>Wardrobe Organizer</v>
      </c>
      <c r="D424" s="4" t="str">
        <f>VLOOKUP(B424,[2]Sheet1!$B:$D,3,FALSE)</f>
        <v>BOXJOY</v>
      </c>
      <c r="E424" s="4" t="s">
        <v>153</v>
      </c>
      <c r="F424" s="4">
        <v>1</v>
      </c>
      <c r="G424" s="9">
        <v>715</v>
      </c>
      <c r="H424" s="3" t="s">
        <v>115</v>
      </c>
    </row>
    <row r="425" spans="1:8" x14ac:dyDescent="0.25">
      <c r="A425" s="1">
        <v>45893</v>
      </c>
      <c r="B425" s="4" t="s">
        <v>18</v>
      </c>
      <c r="C425" t="str">
        <f>VLOOKUP(Amazon_1P__2[[#This Row],[ASIN]],[1]Table1__2!$C:$E,3,FALSE)</f>
        <v>Wardrobe Organizer</v>
      </c>
      <c r="D425" s="4" t="str">
        <f>VLOOKUP(B425,[2]Sheet1!$B:$D,3,FALSE)</f>
        <v>BOXJOY</v>
      </c>
      <c r="E425" s="4" t="s">
        <v>154</v>
      </c>
      <c r="F425" s="4">
        <v>1</v>
      </c>
      <c r="G425" s="9">
        <v>1399</v>
      </c>
      <c r="H425" s="3" t="s">
        <v>115</v>
      </c>
    </row>
    <row r="426" spans="1:8" x14ac:dyDescent="0.25">
      <c r="A426" s="1">
        <v>45893</v>
      </c>
      <c r="B426" s="4" t="s">
        <v>19</v>
      </c>
      <c r="C426" t="str">
        <f>VLOOKUP(Amazon_1P__2[[#This Row],[ASIN]],[1]Table1__2!$C:$E,3,FALSE)</f>
        <v>Wardrobe Organizer</v>
      </c>
      <c r="D426" s="4" t="str">
        <f>VLOOKUP(B426,[2]Sheet1!$B:$D,3,FALSE)</f>
        <v>BOXJOY</v>
      </c>
      <c r="E426" s="4" t="s">
        <v>155</v>
      </c>
      <c r="F426" s="4">
        <v>1</v>
      </c>
      <c r="G426" s="9">
        <v>370</v>
      </c>
      <c r="H426" s="3" t="s">
        <v>115</v>
      </c>
    </row>
    <row r="427" spans="1:8" x14ac:dyDescent="0.25">
      <c r="A427" s="1">
        <v>45893</v>
      </c>
      <c r="B427" s="4" t="s">
        <v>156</v>
      </c>
      <c r="C427" t="str">
        <f>VLOOKUP(Amazon_1P__2[[#This Row],[ASIN]],[1]Table1__2!$C:$E,3,FALSE)</f>
        <v>Footwear Organizer</v>
      </c>
      <c r="D427" s="4" t="str">
        <f>VLOOKUP(Amazon_1P__2[[#This Row],[ASIN]],'[1]Table1 (2)'!$A:$C,3,FALSE)</f>
        <v>BOXJOY</v>
      </c>
      <c r="E427" s="4" t="s">
        <v>157</v>
      </c>
      <c r="F427" s="4">
        <v>1</v>
      </c>
      <c r="G427" s="9">
        <v>699</v>
      </c>
      <c r="H427" s="3" t="s">
        <v>115</v>
      </c>
    </row>
    <row r="428" spans="1:8" x14ac:dyDescent="0.25">
      <c r="A428" s="1">
        <v>45893</v>
      </c>
      <c r="B428" s="4" t="s">
        <v>158</v>
      </c>
      <c r="C428" t="str">
        <f>VLOOKUP(Amazon_1P__2[[#This Row],[ASIN]],[1]Table1__2!$C:$E,3,FALSE)</f>
        <v>Steel Bottle</v>
      </c>
      <c r="D428" s="4" t="str">
        <f>VLOOKUP(Amazon_1P__2[[#This Row],[ASIN]],'[1]Table1 (2)'!$A:$C,3,FALSE)</f>
        <v>EB-Everything Beautiful</v>
      </c>
      <c r="E428" s="4" t="s">
        <v>159</v>
      </c>
      <c r="F428" s="4">
        <v>1</v>
      </c>
      <c r="G428" s="9">
        <v>379</v>
      </c>
      <c r="H428" s="3" t="s">
        <v>115</v>
      </c>
    </row>
    <row r="429" spans="1:8" x14ac:dyDescent="0.25">
      <c r="A429" s="1">
        <v>45893</v>
      </c>
      <c r="B429" s="4" t="s">
        <v>20</v>
      </c>
      <c r="C429" t="str">
        <f>VLOOKUP(Amazon_1P__2[[#This Row],[ASIN]],[1]Table1__2!$C:$E,3,FALSE)</f>
        <v>Wardrobe Organizer</v>
      </c>
      <c r="D429" s="4" t="str">
        <f>VLOOKUP(B429,[2]Sheet1!$B:$D,3,FALSE)</f>
        <v>BOXJOY</v>
      </c>
      <c r="E429" s="4" t="s">
        <v>160</v>
      </c>
      <c r="F429" s="4">
        <v>1</v>
      </c>
      <c r="G429" s="9">
        <v>1499</v>
      </c>
      <c r="H429" s="3" t="s">
        <v>115</v>
      </c>
    </row>
    <row r="430" spans="1:8" x14ac:dyDescent="0.25">
      <c r="A430" s="1">
        <v>45893</v>
      </c>
      <c r="B430" s="4" t="s">
        <v>21</v>
      </c>
      <c r="C430" t="str">
        <f>VLOOKUP(Amazon_1P__2[[#This Row],[ASIN]],[1]Table1__2!$C:$E,3,FALSE)</f>
        <v>Wardrobe Organizer</v>
      </c>
      <c r="D430" s="4" t="str">
        <f>VLOOKUP(B430,[2]Sheet1!$B:$D,3,FALSE)</f>
        <v>BOXJOY</v>
      </c>
      <c r="E430" s="4" t="s">
        <v>161</v>
      </c>
      <c r="F430" s="4">
        <v>1</v>
      </c>
      <c r="G430" s="9">
        <v>1099</v>
      </c>
      <c r="H430" s="3" t="s">
        <v>115</v>
      </c>
    </row>
    <row r="431" spans="1:8" x14ac:dyDescent="0.25">
      <c r="A431" s="1">
        <v>45893</v>
      </c>
      <c r="B431" s="4" t="s">
        <v>162</v>
      </c>
      <c r="C431" t="str">
        <f>VLOOKUP(Amazon_1P__2[[#This Row],[ASIN]],[1]Table1__2!$C:$E,3,FALSE)</f>
        <v>Multipurpose Organizer</v>
      </c>
      <c r="D431" s="4" t="str">
        <f>VLOOKUP(Amazon_1P__2[[#This Row],[ASIN]],'[1]Table1 (2)'!$A:$C,3,FALSE)</f>
        <v>BOXJOY</v>
      </c>
      <c r="E431" s="4" t="s">
        <v>163</v>
      </c>
      <c r="F431" s="4">
        <v>1</v>
      </c>
      <c r="G431" s="9">
        <v>999</v>
      </c>
      <c r="H431" s="3" t="s">
        <v>115</v>
      </c>
    </row>
    <row r="432" spans="1:8" x14ac:dyDescent="0.25">
      <c r="A432" s="1">
        <v>45894</v>
      </c>
      <c r="B432" s="4" t="s">
        <v>116</v>
      </c>
      <c r="C432" t="str">
        <f>VLOOKUP(Amazon_1P__2[[#This Row],[ASIN]],[1]Table1__2!$C:$E,3,FALSE)</f>
        <v>Stretch Film</v>
      </c>
      <c r="D432" s="4" t="str">
        <f>VLOOKUP(Amazon_1P__2[[#This Row],[ASIN]],'[1]Table1 (2)'!$A:$C,3,FALSE)</f>
        <v>TRENDIKRAFT</v>
      </c>
      <c r="E432" s="4" t="s">
        <v>117</v>
      </c>
      <c r="F432" s="4">
        <v>31</v>
      </c>
      <c r="G432" s="9">
        <v>12870.5</v>
      </c>
      <c r="H432" s="3" t="s">
        <v>115</v>
      </c>
    </row>
    <row r="433" spans="1:8" x14ac:dyDescent="0.25">
      <c r="A433" s="1">
        <v>45894</v>
      </c>
      <c r="B433" s="4" t="s">
        <v>1</v>
      </c>
      <c r="C433" t="str">
        <f>VLOOKUP(Amazon_1P__2[[#This Row],[ASIN]],[1]Table1__2!$C:$E,3,FALSE)</f>
        <v>Resin</v>
      </c>
      <c r="D433" s="4" t="str">
        <f>VLOOKUP(B433,[2]Sheet1!$B:$D,3,FALSE)</f>
        <v>TRENDIKRAFT</v>
      </c>
      <c r="E433" s="4" t="s">
        <v>118</v>
      </c>
      <c r="F433" s="4">
        <v>21</v>
      </c>
      <c r="G433" s="9">
        <v>10479</v>
      </c>
      <c r="H433" s="3" t="s">
        <v>115</v>
      </c>
    </row>
    <row r="434" spans="1:8" x14ac:dyDescent="0.25">
      <c r="A434" s="1">
        <v>45894</v>
      </c>
      <c r="B434" s="4" t="s">
        <v>3</v>
      </c>
      <c r="C434" t="str">
        <f>VLOOKUP(Amazon_1P__2[[#This Row],[ASIN]],[1]Table1__2!$C:$E,3,FALSE)</f>
        <v>Face Care</v>
      </c>
      <c r="D434" s="4" t="str">
        <f>VLOOKUP(B434,[2]Sheet1!$B:$D,3,FALSE)</f>
        <v>PROWL</v>
      </c>
      <c r="E434" s="4" t="s">
        <v>120</v>
      </c>
      <c r="F434" s="4">
        <v>9</v>
      </c>
      <c r="G434" s="9">
        <v>1791</v>
      </c>
      <c r="H434" s="3" t="s">
        <v>115</v>
      </c>
    </row>
    <row r="435" spans="1:8" x14ac:dyDescent="0.25">
      <c r="A435" s="1">
        <v>45894</v>
      </c>
      <c r="B435" s="4" t="s">
        <v>2</v>
      </c>
      <c r="C435" t="str">
        <f>VLOOKUP(Amazon_1P__2[[#This Row],[ASIN]],[1]Table1__2!$C:$E,3,FALSE)</f>
        <v>Face Care</v>
      </c>
      <c r="D435" s="4" t="str">
        <f>VLOOKUP(B435,[2]Sheet1!$B:$D,3,FALSE)</f>
        <v>PROWL</v>
      </c>
      <c r="E435" s="4" t="s">
        <v>119</v>
      </c>
      <c r="F435" s="4">
        <v>9</v>
      </c>
      <c r="G435" s="9">
        <v>1813</v>
      </c>
      <c r="H435" s="3" t="s">
        <v>115</v>
      </c>
    </row>
    <row r="436" spans="1:8" x14ac:dyDescent="0.25">
      <c r="A436" s="1">
        <v>45894</v>
      </c>
      <c r="B436" s="4" t="s">
        <v>4</v>
      </c>
      <c r="C436" t="str">
        <f>VLOOKUP(Amazon_1P__2[[#This Row],[ASIN]],[1]Table1__2!$C:$E,3,FALSE)</f>
        <v>Body Care</v>
      </c>
      <c r="D436" s="4" t="str">
        <f>VLOOKUP(B436,[2]Sheet1!$B:$D,3,FALSE)</f>
        <v>PROWL</v>
      </c>
      <c r="E436" s="4" t="s">
        <v>121</v>
      </c>
      <c r="F436" s="4">
        <v>9</v>
      </c>
      <c r="G436" s="9">
        <v>2211</v>
      </c>
      <c r="H436" s="3" t="s">
        <v>115</v>
      </c>
    </row>
    <row r="437" spans="1:8" x14ac:dyDescent="0.25">
      <c r="A437" s="1">
        <v>45894</v>
      </c>
      <c r="B437" s="4" t="s">
        <v>8</v>
      </c>
      <c r="C437" t="str">
        <f>VLOOKUP(Amazon_1P__2[[#This Row],[ASIN]],[1]Table1__2!$C:$E,3,FALSE)</f>
        <v>Face Care</v>
      </c>
      <c r="D437" s="4" t="str">
        <f>VLOOKUP(B437,[2]Sheet1!$B:$D,3,FALSE)</f>
        <v>PROWL</v>
      </c>
      <c r="E437" s="4" t="s">
        <v>131</v>
      </c>
      <c r="F437" s="4">
        <v>6</v>
      </c>
      <c r="G437" s="9">
        <v>1393</v>
      </c>
      <c r="H437" s="3" t="s">
        <v>115</v>
      </c>
    </row>
    <row r="438" spans="1:8" x14ac:dyDescent="0.25">
      <c r="A438" s="1">
        <v>45894</v>
      </c>
      <c r="B438" s="4" t="s">
        <v>127</v>
      </c>
      <c r="C438" t="str">
        <f>VLOOKUP(Amazon_1P__2[[#This Row],[ASIN]],[1]Table1__2!$C:$E,3,FALSE)</f>
        <v>Steel Bottle</v>
      </c>
      <c r="D438" s="4" t="str">
        <f>VLOOKUP(Amazon_1P__2[[#This Row],[ASIN]],'[1]Table1 (2)'!$A:$C,3,FALSE)</f>
        <v>EB-Everything Beautiful</v>
      </c>
      <c r="E438" s="4" t="s">
        <v>128</v>
      </c>
      <c r="F438" s="4">
        <v>5</v>
      </c>
      <c r="G438" s="9">
        <v>1895</v>
      </c>
      <c r="H438" s="3" t="s">
        <v>115</v>
      </c>
    </row>
    <row r="439" spans="1:8" x14ac:dyDescent="0.25">
      <c r="A439" s="1">
        <v>45894</v>
      </c>
      <c r="B439" s="4" t="s">
        <v>0</v>
      </c>
      <c r="C439" t="str">
        <f>VLOOKUP(Amazon_1P__2[[#This Row],[ASIN]],[1]Table1__2!$C:$E,3,FALSE)</f>
        <v>Body Care</v>
      </c>
      <c r="D439" s="4" t="str">
        <f>VLOOKUP(B439,[2]Sheet1!$B:$D,3,FALSE)</f>
        <v>PROWL</v>
      </c>
      <c r="E439" s="4" t="s">
        <v>114</v>
      </c>
      <c r="F439" s="4">
        <v>5</v>
      </c>
      <c r="G439" s="9">
        <v>1255</v>
      </c>
      <c r="H439" s="3" t="s">
        <v>115</v>
      </c>
    </row>
    <row r="440" spans="1:8" x14ac:dyDescent="0.25">
      <c r="A440" s="1">
        <v>45894</v>
      </c>
      <c r="B440" s="4" t="s">
        <v>145</v>
      </c>
      <c r="C440" t="str">
        <f>VLOOKUP(Amazon_1P__2[[#This Row],[ASIN]],[1]Table1__2!$C:$E,3,FALSE)</f>
        <v>Steel Bottle</v>
      </c>
      <c r="D440" s="4" t="str">
        <f>VLOOKUP(Amazon_1P__2[[#This Row],[ASIN]],'[1]Table1 (2)'!$A:$C,3,FALSE)</f>
        <v>EB-Everything Beautiful</v>
      </c>
      <c r="E440" s="4" t="s">
        <v>146</v>
      </c>
      <c r="F440" s="4">
        <v>3</v>
      </c>
      <c r="G440" s="9">
        <v>758</v>
      </c>
      <c r="H440" s="3" t="s">
        <v>115</v>
      </c>
    </row>
    <row r="441" spans="1:8" x14ac:dyDescent="0.25">
      <c r="A441" s="1">
        <v>45894</v>
      </c>
      <c r="B441" s="4" t="s">
        <v>6</v>
      </c>
      <c r="C441" t="str">
        <f>VLOOKUP(Amazon_1P__2[[#This Row],[ASIN]],[1]Table1__2!$C:$E,3,FALSE)</f>
        <v>Wardrobe Organizer</v>
      </c>
      <c r="D441" s="4" t="str">
        <f>VLOOKUP(B441,[2]Sheet1!$B:$D,3,FALSE)</f>
        <v>BOXJOY</v>
      </c>
      <c r="E441" s="4" t="s">
        <v>125</v>
      </c>
      <c r="F441" s="4">
        <v>3</v>
      </c>
      <c r="G441" s="9">
        <v>2697</v>
      </c>
      <c r="H441" s="3" t="s">
        <v>115</v>
      </c>
    </row>
    <row r="442" spans="1:8" x14ac:dyDescent="0.25">
      <c r="A442" s="1">
        <v>45894</v>
      </c>
      <c r="B442" s="4" t="s">
        <v>5</v>
      </c>
      <c r="C442" t="str">
        <f>VLOOKUP(Amazon_1P__2[[#This Row],[ASIN]],[1]Table1__2!$C:$E,3,FALSE)</f>
        <v>Wardrobe Organizer</v>
      </c>
      <c r="D442" s="4" t="str">
        <f>VLOOKUP(B442,[2]Sheet1!$B:$D,3,FALSE)</f>
        <v>BOXJOY</v>
      </c>
      <c r="E442" s="4" t="s">
        <v>122</v>
      </c>
      <c r="F442" s="4">
        <v>3</v>
      </c>
      <c r="G442" s="9">
        <v>1197</v>
      </c>
      <c r="H442" s="3" t="s">
        <v>115</v>
      </c>
    </row>
    <row r="443" spans="1:8" x14ac:dyDescent="0.25">
      <c r="A443" s="1">
        <v>45894</v>
      </c>
      <c r="B443" s="4" t="s">
        <v>136</v>
      </c>
      <c r="C443" t="str">
        <f>VLOOKUP(Amazon_1P__2[[#This Row],[ASIN]],[1]Table1__2!$C:$E,3,FALSE)</f>
        <v>Pet Organizer</v>
      </c>
      <c r="D443" s="4" t="str">
        <f>VLOOKUP(Amazon_1P__2[[#This Row],[ASIN]],'[1]Table1 (2)'!$A:$C,3,FALSE)</f>
        <v>BOXJOY</v>
      </c>
      <c r="E443" s="4" t="s">
        <v>137</v>
      </c>
      <c r="F443" s="4">
        <v>3</v>
      </c>
      <c r="G443" s="9">
        <v>3897</v>
      </c>
      <c r="H443" s="3" t="s">
        <v>115</v>
      </c>
    </row>
    <row r="444" spans="1:8" x14ac:dyDescent="0.25">
      <c r="A444" s="1">
        <v>45894</v>
      </c>
      <c r="B444" s="4" t="s">
        <v>164</v>
      </c>
      <c r="C444" t="str">
        <f>VLOOKUP(Amazon_1P__2[[#This Row],[ASIN]],[1]Table1__2!$C:$E,3,FALSE)</f>
        <v>Multipurpose Organizer</v>
      </c>
      <c r="D444" s="4" t="str">
        <f>VLOOKUP(Amazon_1P__2[[#This Row],[ASIN]],'[1]Table1 (2)'!$A:$C,3,FALSE)</f>
        <v>BOXJOY</v>
      </c>
      <c r="E444" s="4" t="s">
        <v>165</v>
      </c>
      <c r="F444" s="4">
        <v>3</v>
      </c>
      <c r="G444" s="9">
        <v>2997</v>
      </c>
      <c r="H444" s="3" t="s">
        <v>115</v>
      </c>
    </row>
    <row r="445" spans="1:8" x14ac:dyDescent="0.25">
      <c r="A445" s="1">
        <v>45894</v>
      </c>
      <c r="B445" s="4" t="s">
        <v>123</v>
      </c>
      <c r="C445" t="str">
        <f>VLOOKUP(Amazon_1P__2[[#This Row],[ASIN]],[1]Table1__2!$C:$E,3,FALSE)</f>
        <v>Steel Bottle</v>
      </c>
      <c r="D445" s="4" t="str">
        <f>VLOOKUP(Amazon_1P__2[[#This Row],[ASIN]],'[1]Table1 (2)'!$A:$C,3,FALSE)</f>
        <v>EB-Everything Beautiful</v>
      </c>
      <c r="E445" s="4" t="s">
        <v>148</v>
      </c>
      <c r="F445" s="4">
        <v>2</v>
      </c>
      <c r="G445" s="9">
        <v>778</v>
      </c>
      <c r="H445" s="3" t="s">
        <v>115</v>
      </c>
    </row>
    <row r="446" spans="1:8" x14ac:dyDescent="0.25">
      <c r="A446" s="1">
        <v>45894</v>
      </c>
      <c r="B446" s="4" t="s">
        <v>123</v>
      </c>
      <c r="C446" t="str">
        <f>VLOOKUP(Amazon_1P__2[[#This Row],[ASIN]],[1]Table1__2!$C:$E,3,FALSE)</f>
        <v>Steel Bottle</v>
      </c>
      <c r="D446" s="4" t="str">
        <f>VLOOKUP(Amazon_1P__2[[#This Row],[ASIN]],'[1]Table1 (2)'!$A:$C,3,FALSE)</f>
        <v>EB-Everything Beautiful</v>
      </c>
      <c r="E446" s="4" t="s">
        <v>124</v>
      </c>
      <c r="F446" s="4">
        <v>2</v>
      </c>
      <c r="G446" s="9">
        <v>1167</v>
      </c>
      <c r="H446" s="3" t="s">
        <v>115</v>
      </c>
    </row>
    <row r="447" spans="1:8" x14ac:dyDescent="0.25">
      <c r="A447" s="1">
        <v>45894</v>
      </c>
      <c r="B447" s="4" t="s">
        <v>22</v>
      </c>
      <c r="C447" t="str">
        <f>VLOOKUP(Amazon_1P__2[[#This Row],[ASIN]],[1]Table1__2!$C:$E,3,FALSE)</f>
        <v>Wardrobe Organizer</v>
      </c>
      <c r="D447" s="4" t="str">
        <f>VLOOKUP(B447,[2]Sheet1!$B:$D,3,FALSE)</f>
        <v>BOXJOY</v>
      </c>
      <c r="E447" s="4" t="s">
        <v>166</v>
      </c>
      <c r="F447" s="4">
        <v>2</v>
      </c>
      <c r="G447" s="9">
        <v>3036</v>
      </c>
      <c r="H447" s="3" t="s">
        <v>115</v>
      </c>
    </row>
    <row r="448" spans="1:8" x14ac:dyDescent="0.25">
      <c r="A448" s="1">
        <v>45894</v>
      </c>
      <c r="B448" s="4" t="s">
        <v>7</v>
      </c>
      <c r="C448" t="str">
        <f>VLOOKUP(Amazon_1P__2[[#This Row],[ASIN]],[1]Table1__2!$C:$E,3,FALSE)</f>
        <v>Wardrobe Organizer</v>
      </c>
      <c r="D448" s="4" t="str">
        <f>VLOOKUP(B448,[2]Sheet1!$B:$D,3,FALSE)</f>
        <v>BOXJOY</v>
      </c>
      <c r="E448" s="4" t="s">
        <v>126</v>
      </c>
      <c r="F448" s="4">
        <v>2</v>
      </c>
      <c r="G448" s="9">
        <v>1098</v>
      </c>
      <c r="H448" s="3" t="s">
        <v>115</v>
      </c>
    </row>
    <row r="449" spans="1:8" x14ac:dyDescent="0.25">
      <c r="A449" s="1">
        <v>45894</v>
      </c>
      <c r="B449" s="4" t="s">
        <v>129</v>
      </c>
      <c r="C449" t="str">
        <f>VLOOKUP(Amazon_1P__2[[#This Row],[ASIN]],[1]Table1__2!$C:$E,3,FALSE)</f>
        <v>Steel Bottle</v>
      </c>
      <c r="D449" s="4" t="str">
        <f>VLOOKUP(Amazon_1P__2[[#This Row],[ASIN]],'[1]Table1 (2)'!$A:$C,3,FALSE)</f>
        <v>EB-Everything Beautiful</v>
      </c>
      <c r="E449" s="4" t="s">
        <v>130</v>
      </c>
      <c r="F449" s="4">
        <v>2</v>
      </c>
      <c r="G449" s="9">
        <v>758</v>
      </c>
      <c r="H449" s="3" t="s">
        <v>115</v>
      </c>
    </row>
    <row r="450" spans="1:8" x14ac:dyDescent="0.25">
      <c r="A450" s="1">
        <v>45894</v>
      </c>
      <c r="B450" s="4" t="s">
        <v>162</v>
      </c>
      <c r="C450" t="str">
        <f>VLOOKUP(Amazon_1P__2[[#This Row],[ASIN]],[1]Table1__2!$C:$E,3,FALSE)</f>
        <v>Multipurpose Organizer</v>
      </c>
      <c r="D450" s="4" t="str">
        <f>VLOOKUP(Amazon_1P__2[[#This Row],[ASIN]],'[1]Table1 (2)'!$A:$C,3,FALSE)</f>
        <v>BOXJOY</v>
      </c>
      <c r="E450" s="4" t="s">
        <v>163</v>
      </c>
      <c r="F450" s="4">
        <v>2</v>
      </c>
      <c r="G450" s="9">
        <v>1998</v>
      </c>
      <c r="H450" s="3" t="s">
        <v>115</v>
      </c>
    </row>
    <row r="451" spans="1:8" x14ac:dyDescent="0.25">
      <c r="A451" s="1">
        <v>45894</v>
      </c>
      <c r="B451" s="4" t="s">
        <v>167</v>
      </c>
      <c r="C451" t="s">
        <v>224</v>
      </c>
      <c r="D451" s="5" t="s">
        <v>103</v>
      </c>
      <c r="E451" s="4" t="s">
        <v>168</v>
      </c>
      <c r="F451" s="4">
        <v>1</v>
      </c>
      <c r="G451" s="9">
        <v>1249</v>
      </c>
      <c r="H451" s="3" t="s">
        <v>115</v>
      </c>
    </row>
    <row r="452" spans="1:8" x14ac:dyDescent="0.25">
      <c r="A452" s="1">
        <v>45894</v>
      </c>
      <c r="B452" s="4" t="s">
        <v>140</v>
      </c>
      <c r="C452" t="str">
        <f>VLOOKUP(Amazon_1P__2[[#This Row],[ASIN]],[1]Table1__2!$C:$E,3,FALSE)</f>
        <v>Steel Bottle</v>
      </c>
      <c r="D452" s="4" t="str">
        <f>VLOOKUP(Amazon_1P__2[[#This Row],[ASIN]],'[1]Table1 (2)'!$A:$C,3,FALSE)</f>
        <v>EB-Everything Beautiful</v>
      </c>
      <c r="E452" s="4" t="s">
        <v>141</v>
      </c>
      <c r="F452" s="4">
        <v>1</v>
      </c>
      <c r="G452" s="9">
        <v>819</v>
      </c>
      <c r="H452" s="3" t="s">
        <v>115</v>
      </c>
    </row>
    <row r="453" spans="1:8" x14ac:dyDescent="0.25">
      <c r="A453" s="1">
        <v>45894</v>
      </c>
      <c r="B453" s="4" t="s">
        <v>169</v>
      </c>
      <c r="C453" t="str">
        <f>VLOOKUP(Amazon_1P__2[[#This Row],[ASIN]],[1]Table1__2!$C:$E,3,FALSE)</f>
        <v>Copper Bottle</v>
      </c>
      <c r="D453" s="4" t="str">
        <f>VLOOKUP(Amazon_1P__2[[#This Row],[ASIN]],'[1]Table1 (2)'!$A:$C,3,FALSE)</f>
        <v>EB-Everything Beautiful</v>
      </c>
      <c r="E453" s="4" t="s">
        <v>170</v>
      </c>
      <c r="F453" s="4">
        <v>1</v>
      </c>
      <c r="G453" s="9">
        <v>899</v>
      </c>
      <c r="H453" s="3" t="s">
        <v>115</v>
      </c>
    </row>
    <row r="454" spans="1:8" x14ac:dyDescent="0.25">
      <c r="A454" s="1">
        <v>45894</v>
      </c>
      <c r="B454" s="4" t="s">
        <v>171</v>
      </c>
      <c r="C454" t="str">
        <f>VLOOKUP(Amazon_1P__2[[#This Row],[ASIN]],[1]Table1__2!$C:$E,3,FALSE)</f>
        <v>Copper Bottle</v>
      </c>
      <c r="D454" s="4" t="str">
        <f>VLOOKUP(Amazon_1P__2[[#This Row],[ASIN]],'[1]Table1 (2)'!$A:$C,3,FALSE)</f>
        <v>EB-Everything Beautiful</v>
      </c>
      <c r="E454" s="4" t="s">
        <v>172</v>
      </c>
      <c r="F454" s="4">
        <v>1</v>
      </c>
      <c r="G454" s="9">
        <v>899</v>
      </c>
      <c r="H454" s="3" t="s">
        <v>115</v>
      </c>
    </row>
    <row r="455" spans="1:8" x14ac:dyDescent="0.25">
      <c r="A455" s="1">
        <v>45894</v>
      </c>
      <c r="B455" s="4" t="s">
        <v>173</v>
      </c>
      <c r="C455" t="str">
        <f>VLOOKUP(Amazon_1P__2[[#This Row],[ASIN]],[1]Table1__2!$C:$E,3,FALSE)</f>
        <v>Copper Bottle</v>
      </c>
      <c r="D455" s="4" t="str">
        <f>VLOOKUP(Amazon_1P__2[[#This Row],[ASIN]],'[1]Table1 (2)'!$A:$C,3,FALSE)</f>
        <v>EB-Everything Beautiful</v>
      </c>
      <c r="E455" s="4" t="s">
        <v>174</v>
      </c>
      <c r="F455" s="4">
        <v>1</v>
      </c>
      <c r="G455" s="9">
        <v>899</v>
      </c>
      <c r="H455" s="3" t="s">
        <v>115</v>
      </c>
    </row>
    <row r="456" spans="1:8" x14ac:dyDescent="0.25">
      <c r="A456" s="1">
        <v>45894</v>
      </c>
      <c r="B456" s="4" t="s">
        <v>175</v>
      </c>
      <c r="C456" t="s">
        <v>223</v>
      </c>
      <c r="D456" s="5" t="s">
        <v>103</v>
      </c>
      <c r="E456" s="4" t="s">
        <v>176</v>
      </c>
      <c r="F456" s="4">
        <v>1</v>
      </c>
      <c r="G456" s="9">
        <v>409</v>
      </c>
      <c r="H456" s="3" t="s">
        <v>115</v>
      </c>
    </row>
    <row r="457" spans="1:8" x14ac:dyDescent="0.25">
      <c r="A457" s="1">
        <v>45894</v>
      </c>
      <c r="B457" s="4" t="s">
        <v>9</v>
      </c>
      <c r="C457" t="str">
        <f>VLOOKUP(Amazon_1P__2[[#This Row],[ASIN]],[1]Table1__2!$C:$E,3,FALSE)</f>
        <v>Footwear Organizer</v>
      </c>
      <c r="D457" s="4" t="str">
        <f>VLOOKUP(B457,[2]Sheet1!$B:$D,3,FALSE)</f>
        <v>BOXJOY</v>
      </c>
      <c r="E457" s="4" t="s">
        <v>133</v>
      </c>
      <c r="F457" s="4">
        <v>1</v>
      </c>
      <c r="G457" s="9">
        <v>2475</v>
      </c>
      <c r="H457" s="3" t="s">
        <v>115</v>
      </c>
    </row>
    <row r="458" spans="1:8" x14ac:dyDescent="0.25">
      <c r="A458" s="1">
        <v>45894</v>
      </c>
      <c r="B458" s="4" t="s">
        <v>23</v>
      </c>
      <c r="C458" t="str">
        <f>VLOOKUP(Amazon_1P__2[[#This Row],[ASIN]],[1]Table1__2!$C:$E,3,FALSE)</f>
        <v>Wardrobe Organizer</v>
      </c>
      <c r="D458" s="4" t="str">
        <f>VLOOKUP(B458,[2]Sheet1!$B:$D,3,FALSE)</f>
        <v>BOXJOY</v>
      </c>
      <c r="E458" s="4" t="s">
        <v>177</v>
      </c>
      <c r="F458" s="4">
        <v>1</v>
      </c>
      <c r="G458" s="9">
        <v>1059</v>
      </c>
      <c r="H458" s="3" t="s">
        <v>115</v>
      </c>
    </row>
    <row r="459" spans="1:8" x14ac:dyDescent="0.25">
      <c r="A459" s="1">
        <v>45894</v>
      </c>
      <c r="B459" s="4" t="s">
        <v>178</v>
      </c>
      <c r="C459" t="str">
        <f>VLOOKUP(Amazon_1P__2[[#This Row],[ASIN]],[1]Table1__2!$C:$E,3,FALSE)</f>
        <v>Footwear Organizer</v>
      </c>
      <c r="D459" s="4" t="str">
        <f>VLOOKUP(Amazon_1P__2[[#This Row],[ASIN]],'[1]Table1 (2)'!$A:$C,3,FALSE)</f>
        <v>BOXJOY</v>
      </c>
      <c r="E459" s="4" t="s">
        <v>179</v>
      </c>
      <c r="F459" s="4">
        <v>1</v>
      </c>
      <c r="G459" s="9">
        <v>699</v>
      </c>
      <c r="H459" s="3" t="s">
        <v>115</v>
      </c>
    </row>
    <row r="460" spans="1:8" x14ac:dyDescent="0.25">
      <c r="A460" s="1">
        <v>45894</v>
      </c>
      <c r="B460" s="4" t="s">
        <v>3</v>
      </c>
      <c r="C460" t="str">
        <f>VLOOKUP(Amazon_1P__2[[#This Row],[ASIN]],[1]Table1__2!$C:$E,3,FALSE)</f>
        <v>Face Care</v>
      </c>
      <c r="D460" s="4" t="str">
        <f>VLOOKUP(B460,[2]Sheet1!$B:$D,3,FALSE)</f>
        <v>PROWL</v>
      </c>
      <c r="E460" s="4" t="s">
        <v>180</v>
      </c>
      <c r="F460" s="4">
        <v>1</v>
      </c>
      <c r="G460" s="9">
        <v>199</v>
      </c>
      <c r="H460" s="3" t="s">
        <v>115</v>
      </c>
    </row>
    <row r="461" spans="1:8" x14ac:dyDescent="0.25">
      <c r="A461" s="1">
        <v>45895</v>
      </c>
      <c r="B461" s="4" t="s">
        <v>8</v>
      </c>
      <c r="C461" t="str">
        <f>VLOOKUP(Amazon_1P__2[[#This Row],[ASIN]],[1]Table1__2!$C:$E,3,FALSE)</f>
        <v>Face Care</v>
      </c>
      <c r="D461" s="4" t="str">
        <f>VLOOKUP(B461,[2]Sheet1!$B:$D,3,FALSE)</f>
        <v>PROWL</v>
      </c>
      <c r="E461" s="4" t="s">
        <v>131</v>
      </c>
      <c r="F461" s="4">
        <v>42</v>
      </c>
      <c r="G461" s="9">
        <v>8557</v>
      </c>
      <c r="H461" s="3" t="s">
        <v>115</v>
      </c>
    </row>
    <row r="462" spans="1:8" x14ac:dyDescent="0.25">
      <c r="A462" s="1">
        <v>45895</v>
      </c>
      <c r="B462" s="4" t="s">
        <v>0</v>
      </c>
      <c r="C462" t="str">
        <f>VLOOKUP(Amazon_1P__2[[#This Row],[ASIN]],[1]Table1__2!$C:$E,3,FALSE)</f>
        <v>Body Care</v>
      </c>
      <c r="D462" s="4" t="str">
        <f>VLOOKUP(B462,[2]Sheet1!$B:$D,3,FALSE)</f>
        <v>PROWL</v>
      </c>
      <c r="E462" s="4" t="s">
        <v>114</v>
      </c>
      <c r="F462" s="4">
        <v>41</v>
      </c>
      <c r="G462" s="9">
        <v>10045</v>
      </c>
      <c r="H462" s="3" t="s">
        <v>115</v>
      </c>
    </row>
    <row r="463" spans="1:8" x14ac:dyDescent="0.25">
      <c r="A463" s="1">
        <v>45895</v>
      </c>
      <c r="B463" s="4" t="s">
        <v>3</v>
      </c>
      <c r="C463" t="str">
        <f>VLOOKUP(Amazon_1P__2[[#This Row],[ASIN]],[1]Table1__2!$C:$E,3,FALSE)</f>
        <v>Face Care</v>
      </c>
      <c r="D463" s="4" t="str">
        <f>VLOOKUP(B463,[2]Sheet1!$B:$D,3,FALSE)</f>
        <v>PROWL</v>
      </c>
      <c r="E463" s="4" t="s">
        <v>120</v>
      </c>
      <c r="F463" s="4">
        <v>30</v>
      </c>
      <c r="G463" s="9">
        <v>5970</v>
      </c>
      <c r="H463" s="3" t="s">
        <v>115</v>
      </c>
    </row>
    <row r="464" spans="1:8" x14ac:dyDescent="0.25">
      <c r="A464" s="1">
        <v>45895</v>
      </c>
      <c r="B464" s="4" t="s">
        <v>116</v>
      </c>
      <c r="C464" t="str">
        <f>VLOOKUP(Amazon_1P__2[[#This Row],[ASIN]],[1]Table1__2!$C:$E,3,FALSE)</f>
        <v>Stretch Film</v>
      </c>
      <c r="D464" s="4" t="str">
        <f>VLOOKUP(Amazon_1P__2[[#This Row],[ASIN]],'[1]Table1 (2)'!$A:$C,3,FALSE)</f>
        <v>TRENDIKRAFT</v>
      </c>
      <c r="E464" s="4" t="s">
        <v>117</v>
      </c>
      <c r="F464" s="4">
        <v>19</v>
      </c>
      <c r="G464" s="9">
        <v>7726.75</v>
      </c>
      <c r="H464" s="3" t="s">
        <v>115</v>
      </c>
    </row>
    <row r="465" spans="1:8" x14ac:dyDescent="0.25">
      <c r="A465" s="1">
        <v>45895</v>
      </c>
      <c r="B465" s="4" t="s">
        <v>4</v>
      </c>
      <c r="C465" t="str">
        <f>VLOOKUP(Amazon_1P__2[[#This Row],[ASIN]],[1]Table1__2!$C:$E,3,FALSE)</f>
        <v>Body Care</v>
      </c>
      <c r="D465" s="4" t="str">
        <f>VLOOKUP(B465,[2]Sheet1!$B:$D,3,FALSE)</f>
        <v>PROWL</v>
      </c>
      <c r="E465" s="4" t="s">
        <v>121</v>
      </c>
      <c r="F465" s="4">
        <v>19</v>
      </c>
      <c r="G465" s="9">
        <v>3980</v>
      </c>
      <c r="H465" s="3" t="s">
        <v>115</v>
      </c>
    </row>
    <row r="466" spans="1:8" x14ac:dyDescent="0.25">
      <c r="A466" s="1">
        <v>45895</v>
      </c>
      <c r="B466" s="4" t="s">
        <v>2</v>
      </c>
      <c r="C466" t="str">
        <f>VLOOKUP(Amazon_1P__2[[#This Row],[ASIN]],[1]Table1__2!$C:$E,3,FALSE)</f>
        <v>Face Care</v>
      </c>
      <c r="D466" s="4" t="str">
        <f>VLOOKUP(B466,[2]Sheet1!$B:$D,3,FALSE)</f>
        <v>PROWL</v>
      </c>
      <c r="E466" s="4" t="s">
        <v>119</v>
      </c>
      <c r="F466" s="4">
        <v>16</v>
      </c>
      <c r="G466" s="9">
        <v>3582</v>
      </c>
      <c r="H466" s="3" t="s">
        <v>115</v>
      </c>
    </row>
    <row r="467" spans="1:8" x14ac:dyDescent="0.25">
      <c r="A467" s="1">
        <v>45895</v>
      </c>
      <c r="B467" s="4" t="s">
        <v>1</v>
      </c>
      <c r="C467" t="str">
        <f>VLOOKUP(Amazon_1P__2[[#This Row],[ASIN]],[1]Table1__2!$C:$E,3,FALSE)</f>
        <v>Resin</v>
      </c>
      <c r="D467" s="4" t="str">
        <f>VLOOKUP(B467,[2]Sheet1!$B:$D,3,FALSE)</f>
        <v>TRENDIKRAFT</v>
      </c>
      <c r="E467" s="4" t="s">
        <v>118</v>
      </c>
      <c r="F467" s="4">
        <v>11</v>
      </c>
      <c r="G467" s="9">
        <v>5489</v>
      </c>
      <c r="H467" s="3" t="s">
        <v>115</v>
      </c>
    </row>
    <row r="468" spans="1:8" x14ac:dyDescent="0.25">
      <c r="A468" s="1">
        <v>45895</v>
      </c>
      <c r="B468" s="4" t="s">
        <v>5</v>
      </c>
      <c r="C468" t="str">
        <f>VLOOKUP(Amazon_1P__2[[#This Row],[ASIN]],[1]Table1__2!$C:$E,3,FALSE)</f>
        <v>Wardrobe Organizer</v>
      </c>
      <c r="D468" s="4" t="str">
        <f>VLOOKUP(B468,[2]Sheet1!$B:$D,3,FALSE)</f>
        <v>BOXJOY</v>
      </c>
      <c r="E468" s="4" t="s">
        <v>122</v>
      </c>
      <c r="F468" s="4">
        <v>7</v>
      </c>
      <c r="G468" s="9">
        <v>2793</v>
      </c>
      <c r="H468" s="3" t="s">
        <v>115</v>
      </c>
    </row>
    <row r="469" spans="1:8" x14ac:dyDescent="0.25">
      <c r="A469" s="1">
        <v>45895</v>
      </c>
      <c r="B469" s="4" t="s">
        <v>136</v>
      </c>
      <c r="C469" t="str">
        <f>VLOOKUP(Amazon_1P__2[[#This Row],[ASIN]],[1]Table1__2!$C:$E,3,FALSE)</f>
        <v>Pet Organizer</v>
      </c>
      <c r="D469" s="4" t="str">
        <f>VLOOKUP(Amazon_1P__2[[#This Row],[ASIN]],'[1]Table1 (2)'!$A:$C,3,FALSE)</f>
        <v>BOXJOY</v>
      </c>
      <c r="E469" s="4" t="s">
        <v>137</v>
      </c>
      <c r="F469" s="4">
        <v>7</v>
      </c>
      <c r="G469" s="9">
        <v>11192</v>
      </c>
      <c r="H469" s="3" t="s">
        <v>115</v>
      </c>
    </row>
    <row r="470" spans="1:8" x14ac:dyDescent="0.25">
      <c r="A470" s="1">
        <v>45895</v>
      </c>
      <c r="B470" s="4" t="s">
        <v>127</v>
      </c>
      <c r="C470" t="str">
        <f>VLOOKUP(Amazon_1P__2[[#This Row],[ASIN]],[1]Table1__2!$C:$E,3,FALSE)</f>
        <v>Steel Bottle</v>
      </c>
      <c r="D470" s="4" t="str">
        <f>VLOOKUP(Amazon_1P__2[[#This Row],[ASIN]],'[1]Table1 (2)'!$A:$C,3,FALSE)</f>
        <v>EB-Everything Beautiful</v>
      </c>
      <c r="E470" s="4" t="s">
        <v>128</v>
      </c>
      <c r="F470" s="4">
        <v>6</v>
      </c>
      <c r="G470" s="9">
        <v>3032</v>
      </c>
      <c r="H470" s="3" t="s">
        <v>115</v>
      </c>
    </row>
    <row r="471" spans="1:8" x14ac:dyDescent="0.25">
      <c r="A471" s="1">
        <v>45895</v>
      </c>
      <c r="B471" s="4" t="s">
        <v>123</v>
      </c>
      <c r="C471" t="str">
        <f>VLOOKUP(Amazon_1P__2[[#This Row],[ASIN]],[1]Table1__2!$C:$E,3,FALSE)</f>
        <v>Steel Bottle</v>
      </c>
      <c r="D471" s="4" t="str">
        <f>VLOOKUP(Amazon_1P__2[[#This Row],[ASIN]],'[1]Table1 (2)'!$A:$C,3,FALSE)</f>
        <v>EB-Everything Beautiful</v>
      </c>
      <c r="E471" s="4" t="s">
        <v>124</v>
      </c>
      <c r="F471" s="4">
        <v>5</v>
      </c>
      <c r="G471" s="9">
        <v>2334</v>
      </c>
      <c r="H471" s="3" t="s">
        <v>115</v>
      </c>
    </row>
    <row r="472" spans="1:8" x14ac:dyDescent="0.25">
      <c r="A472" s="1">
        <v>45895</v>
      </c>
      <c r="B472" s="4" t="s">
        <v>10</v>
      </c>
      <c r="C472" t="str">
        <f>VLOOKUP(Amazon_1P__2[[#This Row],[ASIN]],[1]Table1__2!$C:$E,3,FALSE)</f>
        <v>Drawer Organizer</v>
      </c>
      <c r="D472" s="4" t="str">
        <f>VLOOKUP(B472,[2]Sheet1!$B:$D,3,FALSE)</f>
        <v>BOXJOY</v>
      </c>
      <c r="E472" s="4" t="s">
        <v>134</v>
      </c>
      <c r="F472" s="4">
        <v>4</v>
      </c>
      <c r="G472" s="9">
        <v>3196</v>
      </c>
      <c r="H472" s="3" t="s">
        <v>115</v>
      </c>
    </row>
    <row r="473" spans="1:8" x14ac:dyDescent="0.25">
      <c r="A473" s="1">
        <v>45895</v>
      </c>
      <c r="B473" s="4" t="s">
        <v>173</v>
      </c>
      <c r="C473" t="str">
        <f>VLOOKUP(Amazon_1P__2[[#This Row],[ASIN]],[1]Table1__2!$C:$E,3,FALSE)</f>
        <v>Copper Bottle</v>
      </c>
      <c r="D473" s="4" t="str">
        <f>VLOOKUP(Amazon_1P__2[[#This Row],[ASIN]],'[1]Table1 (2)'!$A:$C,3,FALSE)</f>
        <v>EB-Everything Beautiful</v>
      </c>
      <c r="E473" s="4" t="s">
        <v>174</v>
      </c>
      <c r="F473" s="4">
        <v>3</v>
      </c>
      <c r="G473" s="9">
        <v>2697</v>
      </c>
      <c r="H473" s="3" t="s">
        <v>115</v>
      </c>
    </row>
    <row r="474" spans="1:8" x14ac:dyDescent="0.25">
      <c r="A474" s="1">
        <v>45895</v>
      </c>
      <c r="B474" s="4" t="s">
        <v>6</v>
      </c>
      <c r="C474" t="str">
        <f>VLOOKUP(Amazon_1P__2[[#This Row],[ASIN]],[1]Table1__2!$C:$E,3,FALSE)</f>
        <v>Wardrobe Organizer</v>
      </c>
      <c r="D474" s="4" t="str">
        <f>VLOOKUP(B474,[2]Sheet1!$B:$D,3,FALSE)</f>
        <v>BOXJOY</v>
      </c>
      <c r="E474" s="4" t="s">
        <v>125</v>
      </c>
      <c r="F474" s="4">
        <v>3</v>
      </c>
      <c r="G474" s="9">
        <v>2697</v>
      </c>
      <c r="H474" s="3" t="s">
        <v>115</v>
      </c>
    </row>
    <row r="475" spans="1:8" x14ac:dyDescent="0.25">
      <c r="A475" s="1">
        <v>45895</v>
      </c>
      <c r="B475" s="4" t="s">
        <v>7</v>
      </c>
      <c r="C475" t="str">
        <f>VLOOKUP(Amazon_1P__2[[#This Row],[ASIN]],[1]Table1__2!$C:$E,3,FALSE)</f>
        <v>Wardrobe Organizer</v>
      </c>
      <c r="D475" s="4" t="str">
        <f>VLOOKUP(B475,[2]Sheet1!$B:$D,3,FALSE)</f>
        <v>BOXJOY</v>
      </c>
      <c r="E475" s="4" t="s">
        <v>126</v>
      </c>
      <c r="F475" s="4">
        <v>3</v>
      </c>
      <c r="G475" s="9">
        <v>1647</v>
      </c>
      <c r="H475" s="3" t="s">
        <v>115</v>
      </c>
    </row>
    <row r="476" spans="1:8" x14ac:dyDescent="0.25">
      <c r="A476" s="1">
        <v>45895</v>
      </c>
      <c r="B476" s="4" t="s">
        <v>181</v>
      </c>
      <c r="C476" t="s">
        <v>223</v>
      </c>
      <c r="D476" s="5" t="s">
        <v>103</v>
      </c>
      <c r="E476" s="4" t="s">
        <v>182</v>
      </c>
      <c r="F476" s="4">
        <v>2</v>
      </c>
      <c r="G476" s="9">
        <v>818</v>
      </c>
      <c r="H476" s="3" t="s">
        <v>115</v>
      </c>
    </row>
    <row r="477" spans="1:8" x14ac:dyDescent="0.25">
      <c r="A477" s="1">
        <v>45895</v>
      </c>
      <c r="B477" s="4" t="s">
        <v>3</v>
      </c>
      <c r="C477" t="str">
        <f>VLOOKUP(Amazon_1P__2[[#This Row],[ASIN]],[1]Table1__2!$C:$E,3,FALSE)</f>
        <v>Face Care</v>
      </c>
      <c r="D477" s="4" t="str">
        <f>VLOOKUP(B477,[2]Sheet1!$B:$D,3,FALSE)</f>
        <v>PROWL</v>
      </c>
      <c r="E477" s="4" t="s">
        <v>180</v>
      </c>
      <c r="F477" s="4">
        <v>2</v>
      </c>
      <c r="G477" s="9">
        <v>397.39</v>
      </c>
      <c r="H477" s="3" t="s">
        <v>115</v>
      </c>
    </row>
    <row r="478" spans="1:8" x14ac:dyDescent="0.25">
      <c r="A478" s="1">
        <v>45895</v>
      </c>
      <c r="B478" s="4" t="s">
        <v>140</v>
      </c>
      <c r="C478" t="str">
        <f>VLOOKUP(Amazon_1P__2[[#This Row],[ASIN]],[1]Table1__2!$C:$E,3,FALSE)</f>
        <v>Steel Bottle</v>
      </c>
      <c r="D478" s="4" t="str">
        <f>VLOOKUP(Amazon_1P__2[[#This Row],[ASIN]],'[1]Table1 (2)'!$A:$C,3,FALSE)</f>
        <v>EB-Everything Beautiful</v>
      </c>
      <c r="E478" s="4" t="s">
        <v>141</v>
      </c>
      <c r="F478" s="4">
        <v>1</v>
      </c>
      <c r="G478" s="9">
        <v>819</v>
      </c>
      <c r="H478" s="3" t="s">
        <v>115</v>
      </c>
    </row>
    <row r="479" spans="1:8" x14ac:dyDescent="0.25">
      <c r="A479" s="1">
        <v>45895</v>
      </c>
      <c r="B479" s="4" t="s">
        <v>171</v>
      </c>
      <c r="C479" t="str">
        <f>VLOOKUP(Amazon_1P__2[[#This Row],[ASIN]],[1]Table1__2!$C:$E,3,FALSE)</f>
        <v>Copper Bottle</v>
      </c>
      <c r="D479" s="4" t="str">
        <f>VLOOKUP(Amazon_1P__2[[#This Row],[ASIN]],'[1]Table1 (2)'!$A:$C,3,FALSE)</f>
        <v>EB-Everything Beautiful</v>
      </c>
      <c r="E479" s="4" t="s">
        <v>172</v>
      </c>
      <c r="F479" s="4">
        <v>1</v>
      </c>
      <c r="G479" s="9">
        <v>899</v>
      </c>
      <c r="H479" s="3" t="s">
        <v>115</v>
      </c>
    </row>
    <row r="480" spans="1:8" x14ac:dyDescent="0.25">
      <c r="A480" s="1">
        <v>45895</v>
      </c>
      <c r="B480" s="4" t="s">
        <v>145</v>
      </c>
      <c r="C480" t="str">
        <f>VLOOKUP(Amazon_1P__2[[#This Row],[ASIN]],[1]Table1__2!$C:$E,3,FALSE)</f>
        <v>Steel Bottle</v>
      </c>
      <c r="D480" s="4" t="str">
        <f>VLOOKUP(Amazon_1P__2[[#This Row],[ASIN]],'[1]Table1 (2)'!$A:$C,3,FALSE)</f>
        <v>EB-Everything Beautiful</v>
      </c>
      <c r="E480" s="4" t="s">
        <v>147</v>
      </c>
      <c r="F480" s="4">
        <v>1</v>
      </c>
      <c r="G480" s="9">
        <v>441</v>
      </c>
      <c r="H480" s="3" t="s">
        <v>115</v>
      </c>
    </row>
    <row r="481" spans="1:8" x14ac:dyDescent="0.25">
      <c r="A481" s="1">
        <v>45895</v>
      </c>
      <c r="B481" s="4" t="s">
        <v>145</v>
      </c>
      <c r="C481" t="str">
        <f>VLOOKUP(Amazon_1P__2[[#This Row],[ASIN]],[1]Table1__2!$C:$E,3,FALSE)</f>
        <v>Steel Bottle</v>
      </c>
      <c r="D481" s="4" t="str">
        <f>VLOOKUP(Amazon_1P__2[[#This Row],[ASIN]],'[1]Table1 (2)'!$A:$C,3,FALSE)</f>
        <v>EB-Everything Beautiful</v>
      </c>
      <c r="E481" s="4" t="s">
        <v>146</v>
      </c>
      <c r="F481" s="4">
        <v>1</v>
      </c>
      <c r="G481" s="9">
        <v>379</v>
      </c>
      <c r="H481" s="3" t="s">
        <v>115</v>
      </c>
    </row>
    <row r="482" spans="1:8" x14ac:dyDescent="0.25">
      <c r="A482" s="1">
        <v>45895</v>
      </c>
      <c r="B482" s="4" t="s">
        <v>123</v>
      </c>
      <c r="C482" t="str">
        <f>VLOOKUP(Amazon_1P__2[[#This Row],[ASIN]],[1]Table1__2!$C:$E,3,FALSE)</f>
        <v>Steel Bottle</v>
      </c>
      <c r="D482" s="4" t="str">
        <f>VLOOKUP(Amazon_1P__2[[#This Row],[ASIN]],'[1]Table1 (2)'!$A:$C,3,FALSE)</f>
        <v>EB-Everything Beautiful</v>
      </c>
      <c r="E482" s="4" t="s">
        <v>148</v>
      </c>
      <c r="F482" s="4">
        <v>1</v>
      </c>
      <c r="G482" s="9">
        <v>0</v>
      </c>
      <c r="H482" s="3" t="s">
        <v>115</v>
      </c>
    </row>
    <row r="483" spans="1:8" x14ac:dyDescent="0.25">
      <c r="A483" s="1">
        <v>45895</v>
      </c>
      <c r="B483" s="4" t="s">
        <v>14</v>
      </c>
      <c r="C483" t="str">
        <f>VLOOKUP(Amazon_1P__2[[#This Row],[ASIN]],[1]Table1__2!$C:$E,3,FALSE)</f>
        <v>Wardrobe Organizer</v>
      </c>
      <c r="D483" s="4" t="str">
        <f>VLOOKUP(B483,[2]Sheet1!$B:$D,3,FALSE)</f>
        <v>BOXJOY</v>
      </c>
      <c r="E483" s="4" t="s">
        <v>150</v>
      </c>
      <c r="F483" s="4">
        <v>1</v>
      </c>
      <c r="G483" s="9">
        <v>749</v>
      </c>
      <c r="H483" s="3" t="s">
        <v>115</v>
      </c>
    </row>
    <row r="484" spans="1:8" x14ac:dyDescent="0.25">
      <c r="A484" s="1">
        <v>45895</v>
      </c>
      <c r="B484" s="4" t="s">
        <v>178</v>
      </c>
      <c r="C484" t="str">
        <f>VLOOKUP(Amazon_1P__2[[#This Row],[ASIN]],[1]Table1__2!$C:$E,3,FALSE)</f>
        <v>Footwear Organizer</v>
      </c>
      <c r="D484" s="4" t="str">
        <f>VLOOKUP(Amazon_1P__2[[#This Row],[ASIN]],'[1]Table1 (2)'!$A:$C,3,FALSE)</f>
        <v>BOXJOY</v>
      </c>
      <c r="E484" s="4" t="s">
        <v>179</v>
      </c>
      <c r="F484" s="4">
        <v>1</v>
      </c>
      <c r="G484" s="9">
        <v>699</v>
      </c>
      <c r="H484" s="3" t="s">
        <v>115</v>
      </c>
    </row>
    <row r="485" spans="1:8" x14ac:dyDescent="0.25">
      <c r="A485" s="1">
        <v>45895</v>
      </c>
      <c r="B485" s="4" t="s">
        <v>129</v>
      </c>
      <c r="C485" t="str">
        <f>VLOOKUP(Amazon_1P__2[[#This Row],[ASIN]],[1]Table1__2!$C:$E,3,FALSE)</f>
        <v>Steel Bottle</v>
      </c>
      <c r="D485" s="4" t="str">
        <f>VLOOKUP(Amazon_1P__2[[#This Row],[ASIN]],'[1]Table1 (2)'!$A:$C,3,FALSE)</f>
        <v>EB-Everything Beautiful</v>
      </c>
      <c r="E485" s="4" t="s">
        <v>130</v>
      </c>
      <c r="F485" s="4">
        <v>1</v>
      </c>
      <c r="G485" s="9">
        <v>379</v>
      </c>
      <c r="H485" s="3" t="s">
        <v>115</v>
      </c>
    </row>
    <row r="486" spans="1:8" x14ac:dyDescent="0.25">
      <c r="A486" s="1">
        <v>45895</v>
      </c>
      <c r="B486" s="4" t="s">
        <v>20</v>
      </c>
      <c r="C486" t="str">
        <f>VLOOKUP(Amazon_1P__2[[#This Row],[ASIN]],[1]Table1__2!$C:$E,3,FALSE)</f>
        <v>Wardrobe Organizer</v>
      </c>
      <c r="D486" s="4" t="str">
        <f>VLOOKUP(B486,[2]Sheet1!$B:$D,3,FALSE)</f>
        <v>BOXJOY</v>
      </c>
      <c r="E486" s="4" t="s">
        <v>160</v>
      </c>
      <c r="F486" s="4">
        <v>1</v>
      </c>
      <c r="G486" s="9">
        <v>1499</v>
      </c>
      <c r="H486" s="3" t="s">
        <v>115</v>
      </c>
    </row>
    <row r="487" spans="1:8" x14ac:dyDescent="0.25">
      <c r="A487" s="1">
        <v>45895</v>
      </c>
      <c r="B487" s="4" t="s">
        <v>0</v>
      </c>
      <c r="C487" t="str">
        <f>VLOOKUP(Amazon_1P__2[[#This Row],[ASIN]],[1]Table1__2!$C:$E,3,FALSE)</f>
        <v>Body Care</v>
      </c>
      <c r="D487" s="4" t="str">
        <f>VLOOKUP(B487,[2]Sheet1!$B:$D,3,FALSE)</f>
        <v>PROWL</v>
      </c>
      <c r="E487" s="4" t="s">
        <v>132</v>
      </c>
      <c r="F487" s="4">
        <v>1</v>
      </c>
      <c r="G487" s="9">
        <v>245</v>
      </c>
      <c r="H487" s="3" t="s">
        <v>115</v>
      </c>
    </row>
    <row r="488" spans="1:8" x14ac:dyDescent="0.25">
      <c r="A488" s="1">
        <v>45895</v>
      </c>
      <c r="B488" s="4" t="s">
        <v>35</v>
      </c>
      <c r="C488" t="str">
        <f>VLOOKUP(Amazon_1P__2[[#This Row],[ASIN]],[1]Table1__2!$C:$E,3,FALSE)</f>
        <v>Face Care</v>
      </c>
      <c r="D488" s="4" t="str">
        <f>VLOOKUP(B488,[2]Sheet1!$B:$D,3,FALSE)</f>
        <v>PROWL</v>
      </c>
      <c r="E488" s="4" t="s">
        <v>183</v>
      </c>
      <c r="F488" s="4">
        <v>1</v>
      </c>
      <c r="G488" s="9">
        <v>175</v>
      </c>
      <c r="H488" s="3" t="s">
        <v>115</v>
      </c>
    </row>
    <row r="489" spans="1:8" x14ac:dyDescent="0.25">
      <c r="A489" s="1">
        <v>45896</v>
      </c>
      <c r="B489" s="4" t="s">
        <v>2</v>
      </c>
      <c r="C489" t="str">
        <f>VLOOKUP(Amazon_1P__2[[#This Row],[ASIN]],[1]Table1__2!$C:$E,3,FALSE)</f>
        <v>Face Care</v>
      </c>
      <c r="D489" s="4" t="str">
        <f>VLOOKUP(B489,[2]Sheet1!$B:$D,3,FALSE)</f>
        <v>PROWL</v>
      </c>
      <c r="E489" s="4" t="s">
        <v>119</v>
      </c>
      <c r="F489" s="4">
        <v>21</v>
      </c>
      <c r="G489" s="9">
        <v>4179</v>
      </c>
      <c r="H489" s="3" t="s">
        <v>115</v>
      </c>
    </row>
    <row r="490" spans="1:8" x14ac:dyDescent="0.25">
      <c r="A490" s="1">
        <v>45896</v>
      </c>
      <c r="B490" s="4" t="s">
        <v>3</v>
      </c>
      <c r="C490" t="str">
        <f>VLOOKUP(Amazon_1P__2[[#This Row],[ASIN]],[1]Table1__2!$C:$E,3,FALSE)</f>
        <v>Face Care</v>
      </c>
      <c r="D490" s="4" t="str">
        <f>VLOOKUP(B490,[2]Sheet1!$B:$D,3,FALSE)</f>
        <v>PROWL</v>
      </c>
      <c r="E490" s="4" t="s">
        <v>120</v>
      </c>
      <c r="F490" s="4">
        <v>19</v>
      </c>
      <c r="G490" s="9">
        <v>3781</v>
      </c>
      <c r="H490" s="3" t="s">
        <v>115</v>
      </c>
    </row>
    <row r="491" spans="1:8" x14ac:dyDescent="0.25">
      <c r="A491" s="1">
        <v>45896</v>
      </c>
      <c r="B491" s="4" t="s">
        <v>116</v>
      </c>
      <c r="C491" t="str">
        <f>VLOOKUP(Amazon_1P__2[[#This Row],[ASIN]],[1]Table1__2!$C:$E,3,FALSE)</f>
        <v>Stretch Film</v>
      </c>
      <c r="D491" s="4" t="str">
        <f>VLOOKUP(Amazon_1P__2[[#This Row],[ASIN]],'[1]Table1 (2)'!$A:$C,3,FALSE)</f>
        <v>TRENDIKRAFT</v>
      </c>
      <c r="E491" s="4" t="s">
        <v>117</v>
      </c>
      <c r="F491" s="4">
        <v>18</v>
      </c>
      <c r="G491" s="9">
        <v>6597.5</v>
      </c>
      <c r="H491" s="3" t="s">
        <v>115</v>
      </c>
    </row>
    <row r="492" spans="1:8" x14ac:dyDescent="0.25">
      <c r="A492" s="1">
        <v>45896</v>
      </c>
      <c r="B492" s="4" t="s">
        <v>4</v>
      </c>
      <c r="C492" t="str">
        <f>VLOOKUP(Amazon_1P__2[[#This Row],[ASIN]],[1]Table1__2!$C:$E,3,FALSE)</f>
        <v>Body Care</v>
      </c>
      <c r="D492" s="4" t="str">
        <f>VLOOKUP(B492,[2]Sheet1!$B:$D,3,FALSE)</f>
        <v>PROWL</v>
      </c>
      <c r="E492" s="4" t="s">
        <v>121</v>
      </c>
      <c r="F492" s="4">
        <v>18</v>
      </c>
      <c r="G492" s="9">
        <v>3582</v>
      </c>
      <c r="H492" s="3" t="s">
        <v>115</v>
      </c>
    </row>
    <row r="493" spans="1:8" x14ac:dyDescent="0.25">
      <c r="A493" s="1">
        <v>45896</v>
      </c>
      <c r="B493" s="4" t="s">
        <v>1</v>
      </c>
      <c r="C493" t="str">
        <f>VLOOKUP(Amazon_1P__2[[#This Row],[ASIN]],[1]Table1__2!$C:$E,3,FALSE)</f>
        <v>Resin</v>
      </c>
      <c r="D493" s="4" t="str">
        <f>VLOOKUP(B493,[2]Sheet1!$B:$D,3,FALSE)</f>
        <v>TRENDIKRAFT</v>
      </c>
      <c r="E493" s="4" t="s">
        <v>118</v>
      </c>
      <c r="F493" s="4">
        <v>12</v>
      </c>
      <c r="G493" s="9">
        <v>5988</v>
      </c>
      <c r="H493" s="3" t="s">
        <v>115</v>
      </c>
    </row>
    <row r="494" spans="1:8" x14ac:dyDescent="0.25">
      <c r="A494" s="1">
        <v>45896</v>
      </c>
      <c r="B494" s="4" t="s">
        <v>0</v>
      </c>
      <c r="C494" t="str">
        <f>VLOOKUP(Amazon_1P__2[[#This Row],[ASIN]],[1]Table1__2!$C:$E,3,FALSE)</f>
        <v>Body Care</v>
      </c>
      <c r="D494" s="4" t="str">
        <f>VLOOKUP(B494,[2]Sheet1!$B:$D,3,FALSE)</f>
        <v>PROWL</v>
      </c>
      <c r="E494" s="4" t="s">
        <v>114</v>
      </c>
      <c r="F494" s="4">
        <v>12</v>
      </c>
      <c r="G494" s="9">
        <v>3185</v>
      </c>
      <c r="H494" s="3" t="s">
        <v>115</v>
      </c>
    </row>
    <row r="495" spans="1:8" x14ac:dyDescent="0.25">
      <c r="A495" s="1">
        <v>45896</v>
      </c>
      <c r="B495" s="4" t="s">
        <v>127</v>
      </c>
      <c r="C495" t="str">
        <f>VLOOKUP(Amazon_1P__2[[#This Row],[ASIN]],[1]Table1__2!$C:$E,3,FALSE)</f>
        <v>Steel Bottle</v>
      </c>
      <c r="D495" s="4" t="str">
        <f>VLOOKUP(Amazon_1P__2[[#This Row],[ASIN]],'[1]Table1 (2)'!$A:$C,3,FALSE)</f>
        <v>EB-Everything Beautiful</v>
      </c>
      <c r="E495" s="4" t="s">
        <v>128</v>
      </c>
      <c r="F495" s="4">
        <v>9</v>
      </c>
      <c r="G495" s="9">
        <v>3032</v>
      </c>
      <c r="H495" s="3" t="s">
        <v>115</v>
      </c>
    </row>
    <row r="496" spans="1:8" x14ac:dyDescent="0.25">
      <c r="A496" s="1">
        <v>45896</v>
      </c>
      <c r="B496" s="4" t="s">
        <v>123</v>
      </c>
      <c r="C496" t="str">
        <f>VLOOKUP(Amazon_1P__2[[#This Row],[ASIN]],[1]Table1__2!$C:$E,3,FALSE)</f>
        <v>Steel Bottle</v>
      </c>
      <c r="D496" s="4" t="str">
        <f>VLOOKUP(Amazon_1P__2[[#This Row],[ASIN]],'[1]Table1 (2)'!$A:$C,3,FALSE)</f>
        <v>EB-Everything Beautiful</v>
      </c>
      <c r="E496" s="4" t="s">
        <v>124</v>
      </c>
      <c r="F496" s="4">
        <v>7</v>
      </c>
      <c r="G496" s="9">
        <v>2723</v>
      </c>
      <c r="H496" s="3" t="s">
        <v>115</v>
      </c>
    </row>
    <row r="497" spans="1:8" x14ac:dyDescent="0.25">
      <c r="A497" s="1">
        <v>45896</v>
      </c>
      <c r="B497" s="4" t="s">
        <v>7</v>
      </c>
      <c r="C497" t="str">
        <f>VLOOKUP(Amazon_1P__2[[#This Row],[ASIN]],[1]Table1__2!$C:$E,3,FALSE)</f>
        <v>Wardrobe Organizer</v>
      </c>
      <c r="D497" s="4" t="str">
        <f>VLOOKUP(B497,[2]Sheet1!$B:$D,3,FALSE)</f>
        <v>BOXJOY</v>
      </c>
      <c r="E497" s="4" t="s">
        <v>126</v>
      </c>
      <c r="F497" s="4">
        <v>6</v>
      </c>
      <c r="G497" s="9">
        <v>3843</v>
      </c>
      <c r="H497" s="3" t="s">
        <v>115</v>
      </c>
    </row>
    <row r="498" spans="1:8" x14ac:dyDescent="0.25">
      <c r="A498" s="1">
        <v>45896</v>
      </c>
      <c r="B498" s="4" t="s">
        <v>8</v>
      </c>
      <c r="C498" t="str">
        <f>VLOOKUP(Amazon_1P__2[[#This Row],[ASIN]],[1]Table1__2!$C:$E,3,FALSE)</f>
        <v>Face Care</v>
      </c>
      <c r="D498" s="4" t="str">
        <f>VLOOKUP(B498,[2]Sheet1!$B:$D,3,FALSE)</f>
        <v>PROWL</v>
      </c>
      <c r="E498" s="4" t="s">
        <v>131</v>
      </c>
      <c r="F498" s="4">
        <v>6</v>
      </c>
      <c r="G498" s="9">
        <v>1194</v>
      </c>
      <c r="H498" s="3" t="s">
        <v>115</v>
      </c>
    </row>
    <row r="499" spans="1:8" x14ac:dyDescent="0.25">
      <c r="A499" s="1">
        <v>45896</v>
      </c>
      <c r="B499" s="4" t="s">
        <v>184</v>
      </c>
      <c r="C499" t="str">
        <f>VLOOKUP(Amazon_1P__2[[#This Row],[ASIN]],[1]Table1__2!$C:$E,3,FALSE)</f>
        <v>Wardrobe Organizer</v>
      </c>
      <c r="D499" s="4" t="str">
        <f>VLOOKUP(Amazon_1P__2[[#This Row],[ASIN]],'[1]Table1 (2)'!$A:$C,3,FALSE)</f>
        <v>BOXJOY</v>
      </c>
      <c r="E499" s="4" t="s">
        <v>185</v>
      </c>
      <c r="F499" s="4">
        <v>4</v>
      </c>
      <c r="G499" s="9">
        <v>3725</v>
      </c>
      <c r="H499" s="3" t="s">
        <v>115</v>
      </c>
    </row>
    <row r="500" spans="1:8" x14ac:dyDescent="0.25">
      <c r="A500" s="1">
        <v>45896</v>
      </c>
      <c r="B500" s="4" t="s">
        <v>9</v>
      </c>
      <c r="C500" t="str">
        <f>VLOOKUP(Amazon_1P__2[[#This Row],[ASIN]],[1]Table1__2!$C:$E,3,FALSE)</f>
        <v>Footwear Organizer</v>
      </c>
      <c r="D500" s="4" t="str">
        <f>VLOOKUP(B500,[2]Sheet1!$B:$D,3,FALSE)</f>
        <v>BOXJOY</v>
      </c>
      <c r="E500" s="4" t="s">
        <v>133</v>
      </c>
      <c r="F500" s="4">
        <v>3</v>
      </c>
      <c r="G500" s="9">
        <v>7425</v>
      </c>
      <c r="H500" s="3" t="s">
        <v>115</v>
      </c>
    </row>
    <row r="501" spans="1:8" x14ac:dyDescent="0.25">
      <c r="A501" s="1">
        <v>45896</v>
      </c>
      <c r="B501" s="4" t="s">
        <v>105</v>
      </c>
      <c r="C501" t="str">
        <f>VLOOKUP(Amazon_1P__2[[#This Row],[ASIN]],[1]Table1__2!$C:$E,3,FALSE)</f>
        <v>Resin</v>
      </c>
      <c r="D501" s="4" t="str">
        <f>VLOOKUP(B501,[2]Sheet1!$B:$D,3,FALSE)</f>
        <v>TRENDIKRAFT</v>
      </c>
      <c r="E501" s="4" t="s">
        <v>186</v>
      </c>
      <c r="F501" s="4">
        <v>2</v>
      </c>
      <c r="G501" s="9">
        <v>2598</v>
      </c>
      <c r="H501" s="3" t="s">
        <v>115</v>
      </c>
    </row>
    <row r="502" spans="1:8" x14ac:dyDescent="0.25">
      <c r="A502" s="1">
        <v>45896</v>
      </c>
      <c r="B502" s="4" t="s">
        <v>140</v>
      </c>
      <c r="C502" t="str">
        <f>VLOOKUP(Amazon_1P__2[[#This Row],[ASIN]],[1]Table1__2!$C:$E,3,FALSE)</f>
        <v>Steel Bottle</v>
      </c>
      <c r="D502" s="4" t="str">
        <f>VLOOKUP(Amazon_1P__2[[#This Row],[ASIN]],'[1]Table1 (2)'!$A:$C,3,FALSE)</f>
        <v>EB-Everything Beautiful</v>
      </c>
      <c r="E502" s="4" t="s">
        <v>141</v>
      </c>
      <c r="F502" s="4">
        <v>2</v>
      </c>
      <c r="G502" s="9">
        <v>1638</v>
      </c>
      <c r="H502" s="3" t="s">
        <v>115</v>
      </c>
    </row>
    <row r="503" spans="1:8" x14ac:dyDescent="0.25">
      <c r="A503" s="1">
        <v>45896</v>
      </c>
      <c r="B503" s="4" t="s">
        <v>171</v>
      </c>
      <c r="C503" t="str">
        <f>VLOOKUP(Amazon_1P__2[[#This Row],[ASIN]],[1]Table1__2!$C:$E,3,FALSE)</f>
        <v>Copper Bottle</v>
      </c>
      <c r="D503" s="4" t="str">
        <f>VLOOKUP(Amazon_1P__2[[#This Row],[ASIN]],'[1]Table1 (2)'!$A:$C,3,FALSE)</f>
        <v>EB-Everything Beautiful</v>
      </c>
      <c r="E503" s="4" t="s">
        <v>172</v>
      </c>
      <c r="F503" s="4">
        <v>2</v>
      </c>
      <c r="G503" s="9">
        <v>899</v>
      </c>
      <c r="H503" s="3" t="s">
        <v>115</v>
      </c>
    </row>
    <row r="504" spans="1:8" x14ac:dyDescent="0.25">
      <c r="A504" s="1">
        <v>45896</v>
      </c>
      <c r="B504" s="4" t="s">
        <v>173</v>
      </c>
      <c r="C504" t="str">
        <f>VLOOKUP(Amazon_1P__2[[#This Row],[ASIN]],[1]Table1__2!$C:$E,3,FALSE)</f>
        <v>Copper Bottle</v>
      </c>
      <c r="D504" s="4" t="str">
        <f>VLOOKUP(Amazon_1P__2[[#This Row],[ASIN]],'[1]Table1 (2)'!$A:$C,3,FALSE)</f>
        <v>EB-Everything Beautiful</v>
      </c>
      <c r="E504" s="4" t="s">
        <v>174</v>
      </c>
      <c r="F504" s="4">
        <v>2</v>
      </c>
      <c r="G504" s="9">
        <v>1798</v>
      </c>
      <c r="H504" s="3" t="s">
        <v>115</v>
      </c>
    </row>
    <row r="505" spans="1:8" x14ac:dyDescent="0.25">
      <c r="A505" s="1">
        <v>45896</v>
      </c>
      <c r="B505" s="4" t="s">
        <v>6</v>
      </c>
      <c r="C505" t="str">
        <f>VLOOKUP(Amazon_1P__2[[#This Row],[ASIN]],[1]Table1__2!$C:$E,3,FALSE)</f>
        <v>Wardrobe Organizer</v>
      </c>
      <c r="D505" s="4" t="str">
        <f>VLOOKUP(B505,[2]Sheet1!$B:$D,3,FALSE)</f>
        <v>BOXJOY</v>
      </c>
      <c r="E505" s="4" t="s">
        <v>125</v>
      </c>
      <c r="F505" s="4">
        <v>2</v>
      </c>
      <c r="G505" s="9">
        <v>1798</v>
      </c>
      <c r="H505" s="3" t="s">
        <v>115</v>
      </c>
    </row>
    <row r="506" spans="1:8" x14ac:dyDescent="0.25">
      <c r="A506" s="1">
        <v>45896</v>
      </c>
      <c r="B506" s="4" t="s">
        <v>129</v>
      </c>
      <c r="C506" t="str">
        <f>VLOOKUP(Amazon_1P__2[[#This Row],[ASIN]],[1]Table1__2!$C:$E,3,FALSE)</f>
        <v>Steel Bottle</v>
      </c>
      <c r="D506" s="4" t="str">
        <f>VLOOKUP(Amazon_1P__2[[#This Row],[ASIN]],'[1]Table1 (2)'!$A:$C,3,FALSE)</f>
        <v>EB-Everything Beautiful</v>
      </c>
      <c r="E506" s="4" t="s">
        <v>130</v>
      </c>
      <c r="F506" s="4">
        <v>2</v>
      </c>
      <c r="G506" s="9">
        <v>758</v>
      </c>
      <c r="H506" s="3" t="s">
        <v>115</v>
      </c>
    </row>
    <row r="507" spans="1:8" x14ac:dyDescent="0.25">
      <c r="A507" s="1">
        <v>45896</v>
      </c>
      <c r="B507" s="4" t="s">
        <v>158</v>
      </c>
      <c r="C507" t="str">
        <f>VLOOKUP(Amazon_1P__2[[#This Row],[ASIN]],[1]Table1__2!$C:$E,3,FALSE)</f>
        <v>Steel Bottle</v>
      </c>
      <c r="D507" s="4" t="str">
        <f>VLOOKUP(Amazon_1P__2[[#This Row],[ASIN]],'[1]Table1 (2)'!$A:$C,3,FALSE)</f>
        <v>EB-Everything Beautiful</v>
      </c>
      <c r="E507" s="4" t="s">
        <v>159</v>
      </c>
      <c r="F507" s="4">
        <v>2</v>
      </c>
      <c r="G507" s="9">
        <v>758</v>
      </c>
      <c r="H507" s="3" t="s">
        <v>115</v>
      </c>
    </row>
    <row r="508" spans="1:8" x14ac:dyDescent="0.25">
      <c r="A508" s="1">
        <v>45896</v>
      </c>
      <c r="B508" s="4" t="s">
        <v>136</v>
      </c>
      <c r="C508" t="str">
        <f>VLOOKUP(Amazon_1P__2[[#This Row],[ASIN]],[1]Table1__2!$C:$E,3,FALSE)</f>
        <v>Pet Organizer</v>
      </c>
      <c r="D508" s="4" t="str">
        <f>VLOOKUP(Amazon_1P__2[[#This Row],[ASIN]],'[1]Table1 (2)'!$A:$C,3,FALSE)</f>
        <v>BOXJOY</v>
      </c>
      <c r="E508" s="4" t="s">
        <v>137</v>
      </c>
      <c r="F508" s="4">
        <v>2</v>
      </c>
      <c r="G508" s="9">
        <v>2998</v>
      </c>
      <c r="H508" s="3" t="s">
        <v>115</v>
      </c>
    </row>
    <row r="509" spans="1:8" x14ac:dyDescent="0.25">
      <c r="A509" s="1">
        <v>45896</v>
      </c>
      <c r="B509" s="4" t="s">
        <v>164</v>
      </c>
      <c r="C509" t="str">
        <f>VLOOKUP(Amazon_1P__2[[#This Row],[ASIN]],[1]Table1__2!$C:$E,3,FALSE)</f>
        <v>Multipurpose Organizer</v>
      </c>
      <c r="D509" s="4" t="str">
        <f>VLOOKUP(Amazon_1P__2[[#This Row],[ASIN]],'[1]Table1 (2)'!$A:$C,3,FALSE)</f>
        <v>BOXJOY</v>
      </c>
      <c r="E509" s="4" t="s">
        <v>165</v>
      </c>
      <c r="F509" s="4">
        <v>2</v>
      </c>
      <c r="G509" s="9">
        <v>2997</v>
      </c>
      <c r="H509" s="3" t="s">
        <v>115</v>
      </c>
    </row>
    <row r="510" spans="1:8" x14ac:dyDescent="0.25">
      <c r="A510" s="1">
        <v>45896</v>
      </c>
      <c r="B510" s="4" t="s">
        <v>181</v>
      </c>
      <c r="C510" t="s">
        <v>223</v>
      </c>
      <c r="D510" s="5" t="s">
        <v>103</v>
      </c>
      <c r="E510" s="4" t="s">
        <v>182</v>
      </c>
      <c r="F510" s="4">
        <v>1</v>
      </c>
      <c r="G510" s="9">
        <v>409</v>
      </c>
      <c r="H510" s="3" t="s">
        <v>115</v>
      </c>
    </row>
    <row r="511" spans="1:8" x14ac:dyDescent="0.25">
      <c r="A511" s="1">
        <v>45896</v>
      </c>
      <c r="B511" s="4" t="s">
        <v>169</v>
      </c>
      <c r="C511" t="str">
        <f>VLOOKUP(Amazon_1P__2[[#This Row],[ASIN]],[1]Table1__2!$C:$E,3,FALSE)</f>
        <v>Copper Bottle</v>
      </c>
      <c r="D511" s="4" t="str">
        <f>VLOOKUP(Amazon_1P__2[[#This Row],[ASIN]],'[1]Table1 (2)'!$A:$C,3,FALSE)</f>
        <v>EB-Everything Beautiful</v>
      </c>
      <c r="E511" s="4" t="s">
        <v>170</v>
      </c>
      <c r="F511" s="4">
        <v>1</v>
      </c>
      <c r="G511" s="9">
        <v>899</v>
      </c>
      <c r="H511" s="3" t="s">
        <v>115</v>
      </c>
    </row>
    <row r="512" spans="1:8" x14ac:dyDescent="0.25">
      <c r="A512" s="1">
        <v>45896</v>
      </c>
      <c r="B512" s="4" t="s">
        <v>56</v>
      </c>
      <c r="C512" t="str">
        <f>VLOOKUP(Amazon_1P__2[[#This Row],[ASIN]],[1]Table1__2!$C:$E,3,FALSE)</f>
        <v>Wardrobe Organizer</v>
      </c>
      <c r="D512" s="4" t="str">
        <f>VLOOKUP(B512,[2]Sheet1!$B:$D,3,FALSE)</f>
        <v>BOXJOY</v>
      </c>
      <c r="E512" s="4" t="s">
        <v>187</v>
      </c>
      <c r="F512" s="4">
        <v>1</v>
      </c>
      <c r="G512" s="9">
        <v>582</v>
      </c>
      <c r="H512" s="3" t="s">
        <v>115</v>
      </c>
    </row>
    <row r="513" spans="1:8" x14ac:dyDescent="0.25">
      <c r="A513" s="1">
        <v>45896</v>
      </c>
      <c r="B513" s="4" t="s">
        <v>22</v>
      </c>
      <c r="C513" t="str">
        <f>VLOOKUP(Amazon_1P__2[[#This Row],[ASIN]],[1]Table1__2!$C:$E,3,FALSE)</f>
        <v>Wardrobe Organizer</v>
      </c>
      <c r="D513" s="4" t="str">
        <f>VLOOKUP(B513,[2]Sheet1!$B:$D,3,FALSE)</f>
        <v>BOXJOY</v>
      </c>
      <c r="E513" s="4" t="s">
        <v>166</v>
      </c>
      <c r="F513" s="4">
        <v>1</v>
      </c>
      <c r="G513" s="9">
        <v>759</v>
      </c>
      <c r="H513" s="3" t="s">
        <v>115</v>
      </c>
    </row>
    <row r="514" spans="1:8" x14ac:dyDescent="0.25">
      <c r="A514" s="1">
        <v>45896</v>
      </c>
      <c r="B514" s="4" t="s">
        <v>51</v>
      </c>
      <c r="C514" t="str">
        <f>VLOOKUP(Amazon_1P__2[[#This Row],[ASIN]],[1]Table1__2!$C:$E,3,FALSE)</f>
        <v>Wardrobe Organizer</v>
      </c>
      <c r="D514" s="4" t="str">
        <f>VLOOKUP(B514,[2]Sheet1!$B:$D,3,FALSE)</f>
        <v>BOXJOY</v>
      </c>
      <c r="E514" s="4" t="s">
        <v>188</v>
      </c>
      <c r="F514" s="4">
        <v>1</v>
      </c>
      <c r="G514" s="9">
        <v>317</v>
      </c>
      <c r="H514" s="3" t="s">
        <v>115</v>
      </c>
    </row>
    <row r="515" spans="1:8" x14ac:dyDescent="0.25">
      <c r="A515" s="1">
        <v>45896</v>
      </c>
      <c r="B515" s="4" t="s">
        <v>5</v>
      </c>
      <c r="C515" t="str">
        <f>VLOOKUP(Amazon_1P__2[[#This Row],[ASIN]],[1]Table1__2!$C:$E,3,FALSE)</f>
        <v>Wardrobe Organizer</v>
      </c>
      <c r="D515" s="4" t="str">
        <f>VLOOKUP(B515,[2]Sheet1!$B:$D,3,FALSE)</f>
        <v>BOXJOY</v>
      </c>
      <c r="E515" s="4" t="s">
        <v>122</v>
      </c>
      <c r="F515" s="4">
        <v>1</v>
      </c>
      <c r="G515" s="9">
        <v>399</v>
      </c>
      <c r="H515" s="3" t="s">
        <v>115</v>
      </c>
    </row>
    <row r="516" spans="1:8" x14ac:dyDescent="0.25">
      <c r="A516" s="1">
        <v>45896</v>
      </c>
      <c r="B516" s="4" t="s">
        <v>10</v>
      </c>
      <c r="C516" t="str">
        <f>VLOOKUP(Amazon_1P__2[[#This Row],[ASIN]],[1]Table1__2!$C:$E,3,FALSE)</f>
        <v>Drawer Organizer</v>
      </c>
      <c r="D516" s="4" t="str">
        <f>VLOOKUP(B516,[2]Sheet1!$B:$D,3,FALSE)</f>
        <v>BOXJOY</v>
      </c>
      <c r="E516" s="4" t="s">
        <v>134</v>
      </c>
      <c r="F516" s="4">
        <v>1</v>
      </c>
      <c r="G516" s="9">
        <v>799</v>
      </c>
      <c r="H516" s="3" t="s">
        <v>115</v>
      </c>
    </row>
    <row r="517" spans="1:8" x14ac:dyDescent="0.25">
      <c r="A517" s="1">
        <v>45896</v>
      </c>
      <c r="B517" s="4" t="s">
        <v>156</v>
      </c>
      <c r="C517" t="str">
        <f>VLOOKUP(Amazon_1P__2[[#This Row],[ASIN]],[1]Table1__2!$C:$E,3,FALSE)</f>
        <v>Footwear Organizer</v>
      </c>
      <c r="D517" s="4" t="str">
        <f>VLOOKUP(Amazon_1P__2[[#This Row],[ASIN]],'[1]Table1 (2)'!$A:$C,3,FALSE)</f>
        <v>BOXJOY</v>
      </c>
      <c r="E517" s="4" t="s">
        <v>157</v>
      </c>
      <c r="F517" s="4">
        <v>1</v>
      </c>
      <c r="G517" s="9">
        <v>699</v>
      </c>
      <c r="H517" s="3" t="s">
        <v>115</v>
      </c>
    </row>
    <row r="518" spans="1:8" x14ac:dyDescent="0.25">
      <c r="A518" s="1">
        <v>45896</v>
      </c>
      <c r="B518" s="4" t="s">
        <v>189</v>
      </c>
      <c r="C518" t="str">
        <f>VLOOKUP(Amazon_1P__2[[#This Row],[ASIN]],[1]Table1__2!$C:$E,3,FALSE)</f>
        <v>Footwear Organizer</v>
      </c>
      <c r="D518" s="4" t="str">
        <f>VLOOKUP(Amazon_1P__2[[#This Row],[ASIN]],'[1]Table1 (2)'!$A:$C,3,FALSE)</f>
        <v>BOXJOY</v>
      </c>
      <c r="E518" s="4" t="s">
        <v>190</v>
      </c>
      <c r="F518" s="4">
        <v>1</v>
      </c>
      <c r="G518" s="9">
        <v>699</v>
      </c>
      <c r="H518" s="3" t="s">
        <v>115</v>
      </c>
    </row>
    <row r="519" spans="1:8" x14ac:dyDescent="0.25">
      <c r="A519" s="1">
        <v>45896</v>
      </c>
      <c r="B519" s="4" t="s">
        <v>4</v>
      </c>
      <c r="C519" t="str">
        <f>VLOOKUP(Amazon_1P__2[[#This Row],[ASIN]],[1]Table1__2!$C:$E,3,FALSE)</f>
        <v>Body Care</v>
      </c>
      <c r="D519" s="4" t="str">
        <f>VLOOKUP(B519,[2]Sheet1!$B:$D,3,FALSE)</f>
        <v>PROWL</v>
      </c>
      <c r="E519" s="4" t="s">
        <v>191</v>
      </c>
      <c r="F519" s="4">
        <v>1</v>
      </c>
      <c r="G519" s="9">
        <v>198.39</v>
      </c>
      <c r="H519" s="3" t="s">
        <v>115</v>
      </c>
    </row>
    <row r="520" spans="1:8" x14ac:dyDescent="0.25">
      <c r="A520" s="1">
        <v>45896</v>
      </c>
      <c r="B520" s="4" t="s">
        <v>92</v>
      </c>
      <c r="C520" t="str">
        <f>VLOOKUP(Amazon_1P__2[[#This Row],[ASIN]],[1]Table1__2!$C:$E,3,FALSE)</f>
        <v>Multipurpose Organizer</v>
      </c>
      <c r="D520" s="4" t="str">
        <f>VLOOKUP(B520,[2]Sheet1!$B:$D,3,FALSE)</f>
        <v>BOXJOY</v>
      </c>
      <c r="E520" s="4" t="s">
        <v>192</v>
      </c>
      <c r="F520" s="4">
        <v>1</v>
      </c>
      <c r="G520" s="9">
        <v>999</v>
      </c>
      <c r="H520" s="3" t="s">
        <v>115</v>
      </c>
    </row>
    <row r="521" spans="1:8" x14ac:dyDescent="0.25">
      <c r="A521" s="1">
        <v>45897</v>
      </c>
      <c r="B521" s="4" t="s">
        <v>116</v>
      </c>
      <c r="C521" t="str">
        <f>VLOOKUP(Amazon_1P__2[[#This Row],[ASIN]],[1]Table1__2!$C:$E,3,FALSE)</f>
        <v>Stretch Film</v>
      </c>
      <c r="D521" s="4" t="str">
        <f>VLOOKUP(Amazon_1P__2[[#This Row],[ASIN]],'[1]Table1 (2)'!$A:$C,3,FALSE)</f>
        <v>TRENDIKRAFT</v>
      </c>
      <c r="E521" s="4" t="s">
        <v>117</v>
      </c>
      <c r="F521" s="4">
        <v>19</v>
      </c>
      <c r="G521" s="9">
        <v>7357.75</v>
      </c>
      <c r="H521" s="3" t="s">
        <v>115</v>
      </c>
    </row>
    <row r="522" spans="1:8" x14ac:dyDescent="0.25">
      <c r="A522" s="1">
        <v>45897</v>
      </c>
      <c r="B522" s="4" t="s">
        <v>4</v>
      </c>
      <c r="C522" t="str">
        <f>VLOOKUP(Amazon_1P__2[[#This Row],[ASIN]],[1]Table1__2!$C:$E,3,FALSE)</f>
        <v>Body Care</v>
      </c>
      <c r="D522" s="4" t="str">
        <f>VLOOKUP(B522,[2]Sheet1!$B:$D,3,FALSE)</f>
        <v>PROWL</v>
      </c>
      <c r="E522" s="4" t="s">
        <v>121</v>
      </c>
      <c r="F522" s="4">
        <v>18</v>
      </c>
      <c r="G522" s="9">
        <v>3781</v>
      </c>
      <c r="H522" s="3" t="s">
        <v>115</v>
      </c>
    </row>
    <row r="523" spans="1:8" x14ac:dyDescent="0.25">
      <c r="A523" s="1">
        <v>45897</v>
      </c>
      <c r="B523" s="4" t="s">
        <v>3</v>
      </c>
      <c r="C523" t="str">
        <f>VLOOKUP(Amazon_1P__2[[#This Row],[ASIN]],[1]Table1__2!$C:$E,3,FALSE)</f>
        <v>Face Care</v>
      </c>
      <c r="D523" s="4" t="str">
        <f>VLOOKUP(B523,[2]Sheet1!$B:$D,3,FALSE)</f>
        <v>PROWL</v>
      </c>
      <c r="E523" s="4" t="s">
        <v>120</v>
      </c>
      <c r="F523" s="4">
        <v>17</v>
      </c>
      <c r="G523" s="9">
        <v>4179</v>
      </c>
      <c r="H523" s="3" t="s">
        <v>115</v>
      </c>
    </row>
    <row r="524" spans="1:8" x14ac:dyDescent="0.25">
      <c r="A524" s="1">
        <v>45897</v>
      </c>
      <c r="B524" s="4" t="s">
        <v>2</v>
      </c>
      <c r="C524" t="str">
        <f>VLOOKUP(Amazon_1P__2[[#This Row],[ASIN]],[1]Table1__2!$C:$E,3,FALSE)</f>
        <v>Face Care</v>
      </c>
      <c r="D524" s="4" t="str">
        <f>VLOOKUP(B524,[2]Sheet1!$B:$D,3,FALSE)</f>
        <v>PROWL</v>
      </c>
      <c r="E524" s="4" t="s">
        <v>119</v>
      </c>
      <c r="F524" s="4">
        <v>17</v>
      </c>
      <c r="G524" s="9">
        <v>3582</v>
      </c>
      <c r="H524" s="3" t="s">
        <v>115</v>
      </c>
    </row>
    <row r="525" spans="1:8" x14ac:dyDescent="0.25">
      <c r="A525" s="1">
        <v>45897</v>
      </c>
      <c r="B525" s="4" t="s">
        <v>1</v>
      </c>
      <c r="C525" t="str">
        <f>VLOOKUP(Amazon_1P__2[[#This Row],[ASIN]],[1]Table1__2!$C:$E,3,FALSE)</f>
        <v>Resin</v>
      </c>
      <c r="D525" s="4" t="str">
        <f>VLOOKUP(B525,[2]Sheet1!$B:$D,3,FALSE)</f>
        <v>TRENDIKRAFT</v>
      </c>
      <c r="E525" s="4" t="s">
        <v>118</v>
      </c>
      <c r="F525" s="4">
        <v>11</v>
      </c>
      <c r="G525" s="9">
        <v>5489</v>
      </c>
      <c r="H525" s="3" t="s">
        <v>115</v>
      </c>
    </row>
    <row r="526" spans="1:8" x14ac:dyDescent="0.25">
      <c r="A526" s="1">
        <v>45897</v>
      </c>
      <c r="B526" s="4" t="s">
        <v>8</v>
      </c>
      <c r="C526" t="str">
        <f>VLOOKUP(Amazon_1P__2[[#This Row],[ASIN]],[1]Table1__2!$C:$E,3,FALSE)</f>
        <v>Face Care</v>
      </c>
      <c r="D526" s="4" t="str">
        <f>VLOOKUP(B526,[2]Sheet1!$B:$D,3,FALSE)</f>
        <v>PROWL</v>
      </c>
      <c r="E526" s="4" t="s">
        <v>131</v>
      </c>
      <c r="F526" s="4">
        <v>8</v>
      </c>
      <c r="G526" s="9">
        <v>1791</v>
      </c>
      <c r="H526" s="3" t="s">
        <v>115</v>
      </c>
    </row>
    <row r="527" spans="1:8" x14ac:dyDescent="0.25">
      <c r="A527" s="1">
        <v>45897</v>
      </c>
      <c r="B527" s="4" t="s">
        <v>127</v>
      </c>
      <c r="C527" t="str">
        <f>VLOOKUP(Amazon_1P__2[[#This Row],[ASIN]],[1]Table1__2!$C:$E,3,FALSE)</f>
        <v>Steel Bottle</v>
      </c>
      <c r="D527" s="4" t="str">
        <f>VLOOKUP(Amazon_1P__2[[#This Row],[ASIN]],'[1]Table1 (2)'!$A:$C,3,FALSE)</f>
        <v>EB-Everything Beautiful</v>
      </c>
      <c r="E527" s="4" t="s">
        <v>128</v>
      </c>
      <c r="F527" s="4">
        <v>7</v>
      </c>
      <c r="G527" s="9">
        <v>2653</v>
      </c>
      <c r="H527" s="3" t="s">
        <v>115</v>
      </c>
    </row>
    <row r="528" spans="1:8" x14ac:dyDescent="0.25">
      <c r="A528" s="1">
        <v>45897</v>
      </c>
      <c r="B528" s="4" t="s">
        <v>7</v>
      </c>
      <c r="C528" t="str">
        <f>VLOOKUP(Amazon_1P__2[[#This Row],[ASIN]],[1]Table1__2!$C:$E,3,FALSE)</f>
        <v>Wardrobe Organizer</v>
      </c>
      <c r="D528" s="4" t="str">
        <f>VLOOKUP(B528,[2]Sheet1!$B:$D,3,FALSE)</f>
        <v>BOXJOY</v>
      </c>
      <c r="E528" s="4" t="s">
        <v>126</v>
      </c>
      <c r="F528" s="4">
        <v>5</v>
      </c>
      <c r="G528" s="9">
        <v>2745</v>
      </c>
      <c r="H528" s="3" t="s">
        <v>115</v>
      </c>
    </row>
    <row r="529" spans="1:8" x14ac:dyDescent="0.25">
      <c r="A529" s="1">
        <v>45897</v>
      </c>
      <c r="B529" s="4" t="s">
        <v>0</v>
      </c>
      <c r="C529" t="str">
        <f>VLOOKUP(Amazon_1P__2[[#This Row],[ASIN]],[1]Table1__2!$C:$E,3,FALSE)</f>
        <v>Body Care</v>
      </c>
      <c r="D529" s="4" t="str">
        <f>VLOOKUP(B529,[2]Sheet1!$B:$D,3,FALSE)</f>
        <v>PROWL</v>
      </c>
      <c r="E529" s="4" t="s">
        <v>114</v>
      </c>
      <c r="F529" s="4">
        <v>5</v>
      </c>
      <c r="G529" s="9">
        <v>1225</v>
      </c>
      <c r="H529" s="3" t="s">
        <v>115</v>
      </c>
    </row>
    <row r="530" spans="1:8" x14ac:dyDescent="0.25">
      <c r="A530" s="1">
        <v>45897</v>
      </c>
      <c r="B530" s="4" t="s">
        <v>173</v>
      </c>
      <c r="C530" t="str">
        <f>VLOOKUP(Amazon_1P__2[[#This Row],[ASIN]],[1]Table1__2!$C:$E,3,FALSE)</f>
        <v>Copper Bottle</v>
      </c>
      <c r="D530" s="4" t="str">
        <f>VLOOKUP(Amazon_1P__2[[#This Row],[ASIN]],'[1]Table1 (2)'!$A:$C,3,FALSE)</f>
        <v>EB-Everything Beautiful</v>
      </c>
      <c r="E530" s="4" t="s">
        <v>174</v>
      </c>
      <c r="F530" s="4">
        <v>4</v>
      </c>
      <c r="G530" s="9">
        <v>2697</v>
      </c>
      <c r="H530" s="3" t="s">
        <v>115</v>
      </c>
    </row>
    <row r="531" spans="1:8" x14ac:dyDescent="0.25">
      <c r="A531" s="1">
        <v>45897</v>
      </c>
      <c r="B531" s="4" t="s">
        <v>123</v>
      </c>
      <c r="C531" t="str">
        <f>VLOOKUP(Amazon_1P__2[[#This Row],[ASIN]],[1]Table1__2!$C:$E,3,FALSE)</f>
        <v>Steel Bottle</v>
      </c>
      <c r="D531" s="4" t="str">
        <f>VLOOKUP(Amazon_1P__2[[#This Row],[ASIN]],'[1]Table1 (2)'!$A:$C,3,FALSE)</f>
        <v>EB-Everything Beautiful</v>
      </c>
      <c r="E531" s="4" t="s">
        <v>124</v>
      </c>
      <c r="F531" s="4">
        <v>4</v>
      </c>
      <c r="G531" s="9">
        <v>1945</v>
      </c>
      <c r="H531" s="3" t="s">
        <v>115</v>
      </c>
    </row>
    <row r="532" spans="1:8" x14ac:dyDescent="0.25">
      <c r="A532" s="1">
        <v>45897</v>
      </c>
      <c r="B532" s="4" t="s">
        <v>136</v>
      </c>
      <c r="C532" t="str">
        <f>VLOOKUP(Amazon_1P__2[[#This Row],[ASIN]],[1]Table1__2!$C:$E,3,FALSE)</f>
        <v>Pet Organizer</v>
      </c>
      <c r="D532" s="4" t="str">
        <f>VLOOKUP(Amazon_1P__2[[#This Row],[ASIN]],'[1]Table1 (2)'!$A:$C,3,FALSE)</f>
        <v>BOXJOY</v>
      </c>
      <c r="E532" s="4" t="s">
        <v>137</v>
      </c>
      <c r="F532" s="4">
        <v>4</v>
      </c>
      <c r="G532" s="9">
        <v>5996</v>
      </c>
      <c r="H532" s="3" t="s">
        <v>115</v>
      </c>
    </row>
    <row r="533" spans="1:8" x14ac:dyDescent="0.25">
      <c r="A533" s="1">
        <v>45897</v>
      </c>
      <c r="B533" s="4" t="s">
        <v>171</v>
      </c>
      <c r="C533" t="str">
        <f>VLOOKUP(Amazon_1P__2[[#This Row],[ASIN]],[1]Table1__2!$C:$E,3,FALSE)</f>
        <v>Copper Bottle</v>
      </c>
      <c r="D533" s="4" t="str">
        <f>VLOOKUP(Amazon_1P__2[[#This Row],[ASIN]],'[1]Table1 (2)'!$A:$C,3,FALSE)</f>
        <v>EB-Everything Beautiful</v>
      </c>
      <c r="E533" s="4" t="s">
        <v>172</v>
      </c>
      <c r="F533" s="4">
        <v>3</v>
      </c>
      <c r="G533" s="9">
        <v>2697</v>
      </c>
      <c r="H533" s="3" t="s">
        <v>115</v>
      </c>
    </row>
    <row r="534" spans="1:8" x14ac:dyDescent="0.25">
      <c r="A534" s="1">
        <v>45897</v>
      </c>
      <c r="B534" s="4" t="s">
        <v>162</v>
      </c>
      <c r="C534" t="str">
        <f>VLOOKUP(Amazon_1P__2[[#This Row],[ASIN]],[1]Table1__2!$C:$E,3,FALSE)</f>
        <v>Multipurpose Organizer</v>
      </c>
      <c r="D534" s="4" t="str">
        <f>VLOOKUP(Amazon_1P__2[[#This Row],[ASIN]],'[1]Table1 (2)'!$A:$C,3,FALSE)</f>
        <v>BOXJOY</v>
      </c>
      <c r="E534" s="4" t="s">
        <v>163</v>
      </c>
      <c r="F534" s="4">
        <v>3</v>
      </c>
      <c r="G534" s="9">
        <v>6993</v>
      </c>
      <c r="H534" s="3" t="s">
        <v>115</v>
      </c>
    </row>
    <row r="535" spans="1:8" x14ac:dyDescent="0.25">
      <c r="A535" s="1">
        <v>45897</v>
      </c>
      <c r="B535" s="4" t="s">
        <v>193</v>
      </c>
      <c r="C535" t="str">
        <f>VLOOKUP(Amazon_1P__2[[#This Row],[ASIN]],[1]Table1__2!$C:$E,3,FALSE)</f>
        <v>Copper Bottle</v>
      </c>
      <c r="D535" s="4" t="str">
        <f>VLOOKUP(Amazon_1P__2[[#This Row],[ASIN]],'[1]Table1 (2)'!$A:$C,3,FALSE)</f>
        <v>EB-Everything Beautiful</v>
      </c>
      <c r="E535" s="4" t="s">
        <v>194</v>
      </c>
      <c r="F535" s="4">
        <v>2</v>
      </c>
      <c r="G535" s="9">
        <v>775</v>
      </c>
      <c r="H535" s="3" t="s">
        <v>115</v>
      </c>
    </row>
    <row r="536" spans="1:8" x14ac:dyDescent="0.25">
      <c r="A536" s="1">
        <v>45897</v>
      </c>
      <c r="B536" s="4" t="s">
        <v>12</v>
      </c>
      <c r="C536" t="str">
        <f>VLOOKUP(Amazon_1P__2[[#This Row],[ASIN]],[1]Table1__2!$C:$E,3,FALSE)</f>
        <v>Resin</v>
      </c>
      <c r="D536" s="4" t="str">
        <f>VLOOKUP(B536,[2]Sheet1!$B:$D,3,FALSE)</f>
        <v>TRENDIKRAFT</v>
      </c>
      <c r="E536" s="4" t="s">
        <v>195</v>
      </c>
      <c r="F536" s="4">
        <v>2</v>
      </c>
      <c r="G536" s="9">
        <v>1750</v>
      </c>
      <c r="H536" s="3" t="s">
        <v>115</v>
      </c>
    </row>
    <row r="537" spans="1:8" x14ac:dyDescent="0.25">
      <c r="A537" s="1">
        <v>45897</v>
      </c>
      <c r="B537" s="4" t="s">
        <v>145</v>
      </c>
      <c r="C537" t="str">
        <f>VLOOKUP(Amazon_1P__2[[#This Row],[ASIN]],[1]Table1__2!$C:$E,3,FALSE)</f>
        <v>Steel Bottle</v>
      </c>
      <c r="D537" s="4" t="str">
        <f>VLOOKUP(Amazon_1P__2[[#This Row],[ASIN]],'[1]Table1 (2)'!$A:$C,3,FALSE)</f>
        <v>EB-Everything Beautiful</v>
      </c>
      <c r="E537" s="4" t="s">
        <v>146</v>
      </c>
      <c r="F537" s="4">
        <v>2</v>
      </c>
      <c r="G537" s="9">
        <v>758</v>
      </c>
      <c r="H537" s="3" t="s">
        <v>115</v>
      </c>
    </row>
    <row r="538" spans="1:8" x14ac:dyDescent="0.25">
      <c r="A538" s="1">
        <v>45897</v>
      </c>
      <c r="B538" s="4" t="s">
        <v>22</v>
      </c>
      <c r="C538" t="str">
        <f>VLOOKUP(Amazon_1P__2[[#This Row],[ASIN]],[1]Table1__2!$C:$E,3,FALSE)</f>
        <v>Wardrobe Organizer</v>
      </c>
      <c r="D538" s="4" t="str">
        <f>VLOOKUP(B538,[2]Sheet1!$B:$D,3,FALSE)</f>
        <v>BOXJOY</v>
      </c>
      <c r="E538" s="4" t="s">
        <v>166</v>
      </c>
      <c r="F538" s="4">
        <v>2</v>
      </c>
      <c r="G538" s="9">
        <v>1518</v>
      </c>
      <c r="H538" s="3" t="s">
        <v>115</v>
      </c>
    </row>
    <row r="539" spans="1:8" x14ac:dyDescent="0.25">
      <c r="A539" s="1">
        <v>45897</v>
      </c>
      <c r="B539" s="4" t="s">
        <v>10</v>
      </c>
      <c r="C539" t="str">
        <f>VLOOKUP(Amazon_1P__2[[#This Row],[ASIN]],[1]Table1__2!$C:$E,3,FALSE)</f>
        <v>Drawer Organizer</v>
      </c>
      <c r="D539" s="4" t="str">
        <f>VLOOKUP(B539,[2]Sheet1!$B:$D,3,FALSE)</f>
        <v>BOXJOY</v>
      </c>
      <c r="E539" s="4" t="s">
        <v>134</v>
      </c>
      <c r="F539" s="4">
        <v>2</v>
      </c>
      <c r="G539" s="9">
        <v>2397</v>
      </c>
      <c r="H539" s="3" t="s">
        <v>115</v>
      </c>
    </row>
    <row r="540" spans="1:8" x14ac:dyDescent="0.25">
      <c r="A540" s="1">
        <v>45897</v>
      </c>
      <c r="B540" s="4" t="s">
        <v>105</v>
      </c>
      <c r="C540" t="str">
        <f>VLOOKUP(Amazon_1P__2[[#This Row],[ASIN]],[1]Table1__2!$C:$E,3,FALSE)</f>
        <v>Resin</v>
      </c>
      <c r="D540" s="4" t="str">
        <f>VLOOKUP(B540,[2]Sheet1!$B:$D,3,FALSE)</f>
        <v>TRENDIKRAFT</v>
      </c>
      <c r="E540" s="4" t="s">
        <v>186</v>
      </c>
      <c r="F540" s="4">
        <v>1</v>
      </c>
      <c r="G540" s="9">
        <v>1299</v>
      </c>
      <c r="H540" s="3" t="s">
        <v>115</v>
      </c>
    </row>
    <row r="541" spans="1:8" x14ac:dyDescent="0.25">
      <c r="A541" s="1">
        <v>45897</v>
      </c>
      <c r="B541" s="4" t="s">
        <v>145</v>
      </c>
      <c r="C541" t="str">
        <f>VLOOKUP(Amazon_1P__2[[#This Row],[ASIN]],[1]Table1__2!$C:$E,3,FALSE)</f>
        <v>Steel Bottle</v>
      </c>
      <c r="D541" s="4" t="str">
        <f>VLOOKUP(Amazon_1P__2[[#This Row],[ASIN]],'[1]Table1 (2)'!$A:$C,3,FALSE)</f>
        <v>EB-Everything Beautiful</v>
      </c>
      <c r="E541" s="4" t="s">
        <v>147</v>
      </c>
      <c r="F541" s="4">
        <v>1</v>
      </c>
      <c r="G541" s="9">
        <v>441</v>
      </c>
      <c r="H541" s="3" t="s">
        <v>115</v>
      </c>
    </row>
    <row r="542" spans="1:8" x14ac:dyDescent="0.25">
      <c r="A542" s="1">
        <v>45897</v>
      </c>
      <c r="B542" s="4" t="s">
        <v>42</v>
      </c>
      <c r="C542" t="str">
        <f>VLOOKUP(Amazon_1P__2[[#This Row],[ASIN]],[1]Table1__2!$C:$E,3,FALSE)</f>
        <v>Wardrobe Organizer</v>
      </c>
      <c r="D542" s="4" t="str">
        <f>VLOOKUP(B542,[2]Sheet1!$B:$D,3,FALSE)</f>
        <v>BOXJOY</v>
      </c>
      <c r="E542" s="4" t="s">
        <v>196</v>
      </c>
      <c r="F542" s="4">
        <v>1</v>
      </c>
      <c r="G542" s="9">
        <v>549</v>
      </c>
      <c r="H542" s="3" t="s">
        <v>115</v>
      </c>
    </row>
    <row r="543" spans="1:8" x14ac:dyDescent="0.25">
      <c r="A543" s="1">
        <v>45897</v>
      </c>
      <c r="B543" s="4" t="s">
        <v>6</v>
      </c>
      <c r="C543" t="str">
        <f>VLOOKUP(Amazon_1P__2[[#This Row],[ASIN]],[1]Table1__2!$C:$E,3,FALSE)</f>
        <v>Wardrobe Organizer</v>
      </c>
      <c r="D543" s="4" t="str">
        <f>VLOOKUP(B543,[2]Sheet1!$B:$D,3,FALSE)</f>
        <v>BOXJOY</v>
      </c>
      <c r="E543" s="4" t="s">
        <v>125</v>
      </c>
      <c r="F543" s="4">
        <v>1</v>
      </c>
      <c r="G543" s="9">
        <v>899</v>
      </c>
      <c r="H543" s="3" t="s">
        <v>115</v>
      </c>
    </row>
    <row r="544" spans="1:8" x14ac:dyDescent="0.25">
      <c r="A544" s="1">
        <v>45897</v>
      </c>
      <c r="B544" s="4" t="s">
        <v>14</v>
      </c>
      <c r="C544" t="str">
        <f>VLOOKUP(Amazon_1P__2[[#This Row],[ASIN]],[1]Table1__2!$C:$E,3,FALSE)</f>
        <v>Wardrobe Organizer</v>
      </c>
      <c r="D544" s="4" t="str">
        <f>VLOOKUP(B544,[2]Sheet1!$B:$D,3,FALSE)</f>
        <v>BOXJOY</v>
      </c>
      <c r="E544" s="4" t="s">
        <v>150</v>
      </c>
      <c r="F544" s="4">
        <v>1</v>
      </c>
      <c r="G544" s="9">
        <v>749</v>
      </c>
      <c r="H544" s="3" t="s">
        <v>115</v>
      </c>
    </row>
    <row r="545" spans="1:16" x14ac:dyDescent="0.25">
      <c r="A545" s="1">
        <v>45897</v>
      </c>
      <c r="B545" s="4" t="s">
        <v>39</v>
      </c>
      <c r="C545" t="str">
        <f>VLOOKUP(Amazon_1P__2[[#This Row],[ASIN]],[1]Table1__2!$C:$E,3,FALSE)</f>
        <v>Wardrobe Organizer</v>
      </c>
      <c r="D545" s="4" t="str">
        <f>VLOOKUP(B545,[2]Sheet1!$B:$D,3,FALSE)</f>
        <v>BOXJOY</v>
      </c>
      <c r="E545" s="4" t="s">
        <v>197</v>
      </c>
      <c r="F545" s="4">
        <v>1</v>
      </c>
      <c r="G545" s="9">
        <v>374.29</v>
      </c>
      <c r="H545" s="3" t="s">
        <v>115</v>
      </c>
    </row>
    <row r="546" spans="1:16" x14ac:dyDescent="0.25">
      <c r="A546" s="1">
        <v>45897</v>
      </c>
      <c r="B546" s="4" t="s">
        <v>19</v>
      </c>
      <c r="C546" t="str">
        <f>VLOOKUP(Amazon_1P__2[[#This Row],[ASIN]],[1]Table1__2!$C:$E,3,FALSE)</f>
        <v>Wardrobe Organizer</v>
      </c>
      <c r="D546" s="4" t="str">
        <f>VLOOKUP(B546,[2]Sheet1!$B:$D,3,FALSE)</f>
        <v>BOXJOY</v>
      </c>
      <c r="E546" s="4" t="s">
        <v>155</v>
      </c>
      <c r="F546" s="4">
        <v>1</v>
      </c>
      <c r="G546" s="9">
        <v>370</v>
      </c>
      <c r="H546" s="3" t="s">
        <v>115</v>
      </c>
    </row>
    <row r="547" spans="1:16" x14ac:dyDescent="0.25">
      <c r="A547" s="1">
        <v>45897</v>
      </c>
      <c r="B547" s="4" t="s">
        <v>178</v>
      </c>
      <c r="C547" t="str">
        <f>VLOOKUP(Amazon_1P__2[[#This Row],[ASIN]],[1]Table1__2!$C:$E,3,FALSE)</f>
        <v>Footwear Organizer</v>
      </c>
      <c r="D547" s="4" t="str">
        <f>VLOOKUP(Amazon_1P__2[[#This Row],[ASIN]],'[1]Table1 (2)'!$A:$C,3,FALSE)</f>
        <v>BOXJOY</v>
      </c>
      <c r="E547" s="4" t="s">
        <v>179</v>
      </c>
      <c r="F547" s="4">
        <v>1</v>
      </c>
      <c r="G547" s="9">
        <v>699</v>
      </c>
      <c r="H547" s="3" t="s">
        <v>115</v>
      </c>
    </row>
    <row r="548" spans="1:16" x14ac:dyDescent="0.25">
      <c r="A548" s="1">
        <v>45897</v>
      </c>
      <c r="B548" s="4" t="s">
        <v>129</v>
      </c>
      <c r="C548" t="str">
        <f>VLOOKUP(Amazon_1P__2[[#This Row],[ASIN]],[1]Table1__2!$C:$E,3,FALSE)</f>
        <v>Steel Bottle</v>
      </c>
      <c r="D548" s="4" t="str">
        <f>VLOOKUP(Amazon_1P__2[[#This Row],[ASIN]],'[1]Table1 (2)'!$A:$C,3,FALSE)</f>
        <v>EB-Everything Beautiful</v>
      </c>
      <c r="E548" s="4" t="s">
        <v>130</v>
      </c>
      <c r="F548" s="4">
        <v>1</v>
      </c>
      <c r="G548" s="9">
        <v>379</v>
      </c>
      <c r="H548" s="3" t="s">
        <v>115</v>
      </c>
    </row>
    <row r="549" spans="1:16" x14ac:dyDescent="0.25">
      <c r="A549" s="1">
        <v>45897</v>
      </c>
      <c r="B549" s="4" t="s">
        <v>158</v>
      </c>
      <c r="C549" t="str">
        <f>VLOOKUP(Amazon_1P__2[[#This Row],[ASIN]],[1]Table1__2!$C:$E,3,FALSE)</f>
        <v>Steel Bottle</v>
      </c>
      <c r="D549" s="4" t="str">
        <f>VLOOKUP(Amazon_1P__2[[#This Row],[ASIN]],'[1]Table1 (2)'!$A:$C,3,FALSE)</f>
        <v>EB-Everything Beautiful</v>
      </c>
      <c r="E549" s="4" t="s">
        <v>159</v>
      </c>
      <c r="F549" s="4">
        <v>1</v>
      </c>
      <c r="G549" s="9">
        <v>379</v>
      </c>
      <c r="H549" s="3" t="s">
        <v>115</v>
      </c>
    </row>
    <row r="550" spans="1:16" x14ac:dyDescent="0.25">
      <c r="A550" s="1">
        <v>45897</v>
      </c>
      <c r="B550" s="4" t="s">
        <v>164</v>
      </c>
      <c r="C550" t="str">
        <f>VLOOKUP(Amazon_1P__2[[#This Row],[ASIN]],[1]Table1__2!$C:$E,3,FALSE)</f>
        <v>Multipurpose Organizer</v>
      </c>
      <c r="D550" s="4" t="str">
        <f>VLOOKUP(Amazon_1P__2[[#This Row],[ASIN]],'[1]Table1 (2)'!$A:$C,3,FALSE)</f>
        <v>BOXJOY</v>
      </c>
      <c r="E550" s="4" t="s">
        <v>165</v>
      </c>
      <c r="F550" s="4">
        <v>1</v>
      </c>
      <c r="G550" s="9">
        <v>1998</v>
      </c>
      <c r="H550" s="3" t="s">
        <v>115</v>
      </c>
    </row>
    <row r="551" spans="1:16" x14ac:dyDescent="0.25">
      <c r="A551" s="1">
        <v>45893</v>
      </c>
      <c r="B551" t="str">
        <f>P551</f>
        <v>B0FJ2J1JL6</v>
      </c>
      <c r="C551" t="s">
        <v>198</v>
      </c>
      <c r="D551" t="s">
        <v>199</v>
      </c>
      <c r="E551" t="s">
        <v>200</v>
      </c>
      <c r="F551">
        <v>1</v>
      </c>
      <c r="G551" s="8">
        <v>234.01</v>
      </c>
      <c r="H551" s="2" t="s">
        <v>201</v>
      </c>
      <c r="M551" t="s">
        <v>200</v>
      </c>
      <c r="P551" t="str">
        <f>VLOOKUP(M551,[1]Table1__2!$B:$C,2,FALSE)</f>
        <v>B0FJ2J1JL6</v>
      </c>
    </row>
    <row r="552" spans="1:16" x14ac:dyDescent="0.25">
      <c r="A552" s="1">
        <v>45893</v>
      </c>
      <c r="B552" t="str">
        <f>P552</f>
        <v>B0FJ2JHL43</v>
      </c>
      <c r="C552" t="s">
        <v>202</v>
      </c>
      <c r="D552" t="s">
        <v>199</v>
      </c>
      <c r="E552" t="s">
        <v>203</v>
      </c>
      <c r="F552">
        <v>1</v>
      </c>
      <c r="G552" s="8">
        <v>293.01</v>
      </c>
      <c r="H552" s="2" t="s">
        <v>201</v>
      </c>
      <c r="M552" t="s">
        <v>203</v>
      </c>
      <c r="P552" t="str">
        <f>VLOOKUP(M552,[1]Table1__2!$B:$C,2,FALSE)</f>
        <v>B0FJ2JHL43</v>
      </c>
    </row>
    <row r="553" spans="1:16" x14ac:dyDescent="0.25">
      <c r="A553" s="1">
        <v>45893</v>
      </c>
      <c r="B553" t="str">
        <f t="shared" ref="B553:B616" si="0">P553</f>
        <v>B0DLVF925Q</v>
      </c>
      <c r="C553" t="s">
        <v>204</v>
      </c>
      <c r="D553" t="s">
        <v>27</v>
      </c>
      <c r="E553" t="s">
        <v>205</v>
      </c>
      <c r="F553">
        <v>1</v>
      </c>
      <c r="G553" s="8">
        <v>1749</v>
      </c>
      <c r="H553" s="2" t="s">
        <v>201</v>
      </c>
      <c r="M553" t="s">
        <v>205</v>
      </c>
      <c r="P553" t="str">
        <f>VLOOKUP(M553,[1]Table1__2!$B:$C,2,FALSE)</f>
        <v>B0DLVF925Q</v>
      </c>
    </row>
    <row r="554" spans="1:16" x14ac:dyDescent="0.25">
      <c r="A554" s="1">
        <v>45893</v>
      </c>
      <c r="B554" t="str">
        <f t="shared" si="0"/>
        <v>B0FJ2GXG5K</v>
      </c>
      <c r="C554" t="s">
        <v>206</v>
      </c>
      <c r="D554" t="s">
        <v>199</v>
      </c>
      <c r="E554" t="s">
        <v>207</v>
      </c>
      <c r="F554">
        <v>1</v>
      </c>
      <c r="G554" s="8">
        <v>234.01</v>
      </c>
      <c r="H554" s="2" t="s">
        <v>201</v>
      </c>
      <c r="M554" t="s">
        <v>207</v>
      </c>
      <c r="P554" t="str">
        <f>VLOOKUP(M554,[1]Table1__2!$B:$C,2,FALSE)</f>
        <v>B0FJ2GXG5K</v>
      </c>
    </row>
    <row r="555" spans="1:16" x14ac:dyDescent="0.25">
      <c r="A555" s="1">
        <v>45893</v>
      </c>
      <c r="B555" t="str">
        <f t="shared" si="0"/>
        <v>B0FJ2JHL43</v>
      </c>
      <c r="C555" t="s">
        <v>202</v>
      </c>
      <c r="D555" t="s">
        <v>199</v>
      </c>
      <c r="E555" t="s">
        <v>203</v>
      </c>
      <c r="F555">
        <v>1</v>
      </c>
      <c r="G555" s="8">
        <v>293.01</v>
      </c>
      <c r="H555" s="2" t="s">
        <v>201</v>
      </c>
      <c r="M555" t="s">
        <v>203</v>
      </c>
      <c r="P555" t="str">
        <f>VLOOKUP(M555,[1]Table1__2!$B:$C,2,FALSE)</f>
        <v>B0FJ2JHL43</v>
      </c>
    </row>
    <row r="556" spans="1:16" x14ac:dyDescent="0.25">
      <c r="A556" s="1">
        <v>45893</v>
      </c>
      <c r="B556" t="str">
        <f t="shared" si="0"/>
        <v>B0DLVGWRVJ</v>
      </c>
      <c r="C556" t="s">
        <v>204</v>
      </c>
      <c r="D556" t="s">
        <v>27</v>
      </c>
      <c r="E556" t="s">
        <v>208</v>
      </c>
      <c r="F556">
        <v>1</v>
      </c>
      <c r="G556" s="8">
        <v>1749</v>
      </c>
      <c r="H556" s="2" t="s">
        <v>201</v>
      </c>
      <c r="M556" t="s">
        <v>208</v>
      </c>
      <c r="P556" t="str">
        <f>VLOOKUP(M556,[1]Table1__2!$B:$C,2,FALSE)</f>
        <v>B0DLVGWRVJ</v>
      </c>
    </row>
    <row r="557" spans="1:16" x14ac:dyDescent="0.25">
      <c r="A557" s="1">
        <v>45893</v>
      </c>
      <c r="B557" t="str">
        <f t="shared" si="0"/>
        <v>B0FJ2JBL4J</v>
      </c>
      <c r="C557" t="s">
        <v>209</v>
      </c>
      <c r="D557" t="s">
        <v>199</v>
      </c>
      <c r="E557" t="s">
        <v>210</v>
      </c>
      <c r="F557">
        <v>1</v>
      </c>
      <c r="G557" s="8">
        <v>234.01</v>
      </c>
      <c r="H557" s="2" t="s">
        <v>201</v>
      </c>
      <c r="M557" t="s">
        <v>210</v>
      </c>
      <c r="P557" t="str">
        <f>VLOOKUP(M557,[1]Table1__2!$B:$C,2,FALSE)</f>
        <v>B0FJ2JBL4J</v>
      </c>
    </row>
    <row r="558" spans="1:16" x14ac:dyDescent="0.25">
      <c r="A558" s="1">
        <v>45893</v>
      </c>
      <c r="B558" t="str">
        <f t="shared" si="0"/>
        <v>B0FJ2K6919</v>
      </c>
      <c r="C558" t="s">
        <v>211</v>
      </c>
      <c r="D558" t="s">
        <v>199</v>
      </c>
      <c r="E558" t="s">
        <v>212</v>
      </c>
      <c r="F558">
        <v>1</v>
      </c>
      <c r="G558" s="8">
        <v>211</v>
      </c>
      <c r="H558" s="2" t="s">
        <v>201</v>
      </c>
      <c r="M558" t="s">
        <v>212</v>
      </c>
      <c r="P558" t="str">
        <f>VLOOKUP(M558,[1]Table1__2!$B:$C,2,FALSE)</f>
        <v>B0FJ2K6919</v>
      </c>
    </row>
    <row r="559" spans="1:16" x14ac:dyDescent="0.25">
      <c r="A559" s="1">
        <v>45893</v>
      </c>
      <c r="B559" t="str">
        <f t="shared" si="0"/>
        <v>B0FJ2J1JL6</v>
      </c>
      <c r="C559" t="s">
        <v>198</v>
      </c>
      <c r="D559" t="s">
        <v>199</v>
      </c>
      <c r="E559" t="s">
        <v>200</v>
      </c>
      <c r="F559">
        <v>1</v>
      </c>
      <c r="G559" s="8">
        <v>234.01</v>
      </c>
      <c r="H559" s="2" t="s">
        <v>201</v>
      </c>
      <c r="M559" t="s">
        <v>200</v>
      </c>
      <c r="P559" t="str">
        <f>VLOOKUP(M559,[1]Table1__2!$B:$C,2,FALSE)</f>
        <v>B0FJ2J1JL6</v>
      </c>
    </row>
    <row r="560" spans="1:16" x14ac:dyDescent="0.25">
      <c r="A560" s="1">
        <v>45893</v>
      </c>
      <c r="B560" t="str">
        <f t="shared" si="0"/>
        <v>B0FJ2JHL43</v>
      </c>
      <c r="C560" t="s">
        <v>202</v>
      </c>
      <c r="D560" t="s">
        <v>199</v>
      </c>
      <c r="E560" t="s">
        <v>203</v>
      </c>
      <c r="F560">
        <v>1</v>
      </c>
      <c r="G560" s="8">
        <v>293.01</v>
      </c>
      <c r="H560" s="2" t="s">
        <v>201</v>
      </c>
      <c r="M560" t="s">
        <v>203</v>
      </c>
      <c r="P560" t="str">
        <f>VLOOKUP(M560,[1]Table1__2!$B:$C,2,FALSE)</f>
        <v>B0FJ2JHL43</v>
      </c>
    </row>
    <row r="561" spans="1:16" x14ac:dyDescent="0.25">
      <c r="A561" s="1">
        <v>45893</v>
      </c>
      <c r="B561" t="str">
        <f t="shared" si="0"/>
        <v>B0FJ2GXG5K</v>
      </c>
      <c r="C561" t="s">
        <v>206</v>
      </c>
      <c r="D561" t="s">
        <v>199</v>
      </c>
      <c r="E561" t="s">
        <v>207</v>
      </c>
      <c r="F561">
        <v>1</v>
      </c>
      <c r="G561" s="8">
        <v>234.01</v>
      </c>
      <c r="H561" s="2" t="s">
        <v>201</v>
      </c>
      <c r="M561" t="s">
        <v>207</v>
      </c>
      <c r="P561" t="str">
        <f>VLOOKUP(M561,[1]Table1__2!$B:$C,2,FALSE)</f>
        <v>B0FJ2GXG5K</v>
      </c>
    </row>
    <row r="562" spans="1:16" x14ac:dyDescent="0.25">
      <c r="A562" s="1">
        <v>45893</v>
      </c>
      <c r="B562" t="str">
        <f t="shared" si="0"/>
        <v>B0DL5Q78BV</v>
      </c>
      <c r="C562" t="s">
        <v>204</v>
      </c>
      <c r="D562" t="s">
        <v>27</v>
      </c>
      <c r="E562" t="s">
        <v>213</v>
      </c>
      <c r="F562">
        <v>1</v>
      </c>
      <c r="G562" s="8">
        <v>2575</v>
      </c>
      <c r="H562" s="2" t="s">
        <v>201</v>
      </c>
      <c r="M562" t="s">
        <v>213</v>
      </c>
      <c r="P562" t="str">
        <f>VLOOKUP(M562,[1]Table1__2!$B:$C,2,FALSE)</f>
        <v>B0DL5Q78BV</v>
      </c>
    </row>
    <row r="563" spans="1:16" x14ac:dyDescent="0.25">
      <c r="A563" s="1">
        <v>45893</v>
      </c>
      <c r="B563" t="str">
        <f t="shared" si="0"/>
        <v>B0FJ2J1JL6</v>
      </c>
      <c r="C563" t="s">
        <v>198</v>
      </c>
      <c r="D563" t="s">
        <v>199</v>
      </c>
      <c r="E563" t="s">
        <v>200</v>
      </c>
      <c r="F563">
        <v>1</v>
      </c>
      <c r="G563" s="8">
        <v>234.01</v>
      </c>
      <c r="H563" s="2" t="s">
        <v>201</v>
      </c>
      <c r="M563" t="s">
        <v>200</v>
      </c>
      <c r="P563" t="str">
        <f>VLOOKUP(M563,[1]Table1__2!$B:$C,2,FALSE)</f>
        <v>B0FJ2J1JL6</v>
      </c>
    </row>
    <row r="564" spans="1:16" x14ac:dyDescent="0.25">
      <c r="A564" s="1">
        <v>45893</v>
      </c>
      <c r="B564" t="str">
        <f t="shared" si="0"/>
        <v>B0DL5Q78BV</v>
      </c>
      <c r="C564" t="s">
        <v>204</v>
      </c>
      <c r="D564" t="s">
        <v>27</v>
      </c>
      <c r="E564" t="s">
        <v>213</v>
      </c>
      <c r="F564">
        <v>1</v>
      </c>
      <c r="G564" s="8">
        <v>2575</v>
      </c>
      <c r="H564" s="2" t="s">
        <v>201</v>
      </c>
      <c r="M564" t="s">
        <v>213</v>
      </c>
      <c r="P564" t="str">
        <f>VLOOKUP(M564,[1]Table1__2!$B:$C,2,FALSE)</f>
        <v>B0DL5Q78BV</v>
      </c>
    </row>
    <row r="565" spans="1:16" x14ac:dyDescent="0.25">
      <c r="A565" s="1">
        <v>45893</v>
      </c>
      <c r="B565" t="str">
        <f t="shared" si="0"/>
        <v>B0FJ2GXG5K</v>
      </c>
      <c r="C565" t="s">
        <v>206</v>
      </c>
      <c r="D565" t="s">
        <v>199</v>
      </c>
      <c r="E565" t="s">
        <v>207</v>
      </c>
      <c r="F565">
        <v>1</v>
      </c>
      <c r="G565" s="8">
        <v>234.01</v>
      </c>
      <c r="H565" s="2" t="s">
        <v>201</v>
      </c>
      <c r="M565" t="s">
        <v>207</v>
      </c>
      <c r="P565" t="str">
        <f>VLOOKUP(M565,[1]Table1__2!$B:$C,2,FALSE)</f>
        <v>B0FJ2GXG5K</v>
      </c>
    </row>
    <row r="566" spans="1:16" x14ac:dyDescent="0.25">
      <c r="A566" s="1">
        <v>45893</v>
      </c>
      <c r="B566" t="str">
        <f t="shared" si="0"/>
        <v>B0FJ2K6919</v>
      </c>
      <c r="C566" t="s">
        <v>211</v>
      </c>
      <c r="D566" t="s">
        <v>199</v>
      </c>
      <c r="E566" t="s">
        <v>212</v>
      </c>
      <c r="F566">
        <v>1</v>
      </c>
      <c r="G566" s="8">
        <v>211</v>
      </c>
      <c r="H566" s="2" t="s">
        <v>201</v>
      </c>
      <c r="M566" t="s">
        <v>212</v>
      </c>
      <c r="P566" t="str">
        <f>VLOOKUP(M566,[1]Table1__2!$B:$C,2,FALSE)</f>
        <v>B0FJ2K6919</v>
      </c>
    </row>
    <row r="567" spans="1:16" x14ac:dyDescent="0.25">
      <c r="A567" s="1">
        <v>45893</v>
      </c>
      <c r="B567" t="str">
        <f t="shared" si="0"/>
        <v>B0FJ2JBL4J</v>
      </c>
      <c r="C567" t="s">
        <v>209</v>
      </c>
      <c r="D567" t="s">
        <v>199</v>
      </c>
      <c r="E567" t="s">
        <v>210</v>
      </c>
      <c r="F567">
        <v>1</v>
      </c>
      <c r="G567" s="8">
        <v>234.01</v>
      </c>
      <c r="H567" s="2" t="s">
        <v>201</v>
      </c>
      <c r="M567" t="s">
        <v>210</v>
      </c>
      <c r="P567" t="str">
        <f>VLOOKUP(M567,[1]Table1__2!$B:$C,2,FALSE)</f>
        <v>B0FJ2JBL4J</v>
      </c>
    </row>
    <row r="568" spans="1:16" x14ac:dyDescent="0.25">
      <c r="A568" s="1">
        <v>45893</v>
      </c>
      <c r="B568" t="str">
        <f t="shared" si="0"/>
        <v>B0FJ2K6919</v>
      </c>
      <c r="C568" t="s">
        <v>211</v>
      </c>
      <c r="D568" t="s">
        <v>199</v>
      </c>
      <c r="E568" t="s">
        <v>212</v>
      </c>
      <c r="F568">
        <v>1</v>
      </c>
      <c r="G568" s="8">
        <v>211</v>
      </c>
      <c r="H568" s="2" t="s">
        <v>201</v>
      </c>
      <c r="M568" t="s">
        <v>212</v>
      </c>
      <c r="P568" t="str">
        <f>VLOOKUP(M568,[1]Table1__2!$B:$C,2,FALSE)</f>
        <v>B0FJ2K6919</v>
      </c>
    </row>
    <row r="569" spans="1:16" x14ac:dyDescent="0.25">
      <c r="A569" s="1">
        <v>45893</v>
      </c>
      <c r="B569" t="str">
        <f t="shared" si="0"/>
        <v>B0DL5Q78BV</v>
      </c>
      <c r="C569" t="s">
        <v>204</v>
      </c>
      <c r="D569" t="s">
        <v>27</v>
      </c>
      <c r="E569" t="s">
        <v>213</v>
      </c>
      <c r="F569">
        <v>1</v>
      </c>
      <c r="G569" s="8">
        <v>2575</v>
      </c>
      <c r="H569" s="2" t="s">
        <v>201</v>
      </c>
      <c r="M569" t="s">
        <v>213</v>
      </c>
      <c r="P569" t="str">
        <f>VLOOKUP(M569,[1]Table1__2!$B:$C,2,FALSE)</f>
        <v>B0DL5Q78BV</v>
      </c>
    </row>
    <row r="570" spans="1:16" x14ac:dyDescent="0.25">
      <c r="A570" s="1">
        <v>45893</v>
      </c>
      <c r="B570" t="str">
        <f t="shared" si="0"/>
        <v>B0FJ2J1JL6</v>
      </c>
      <c r="C570" t="s">
        <v>198</v>
      </c>
      <c r="D570" t="s">
        <v>199</v>
      </c>
      <c r="E570" t="s">
        <v>200</v>
      </c>
      <c r="F570">
        <v>1</v>
      </c>
      <c r="G570" s="8">
        <v>234.01</v>
      </c>
      <c r="H570" s="2" t="s">
        <v>201</v>
      </c>
      <c r="M570" t="s">
        <v>200</v>
      </c>
      <c r="P570" t="str">
        <f>VLOOKUP(M570,[1]Table1__2!$B:$C,2,FALSE)</f>
        <v>B0FJ2J1JL6</v>
      </c>
    </row>
    <row r="571" spans="1:16" x14ac:dyDescent="0.25">
      <c r="A571" s="1">
        <v>45893</v>
      </c>
      <c r="B571" t="str">
        <f t="shared" si="0"/>
        <v>B0FJ2JBL4J</v>
      </c>
      <c r="C571" t="s">
        <v>209</v>
      </c>
      <c r="D571" t="s">
        <v>199</v>
      </c>
      <c r="E571" t="s">
        <v>210</v>
      </c>
      <c r="F571">
        <v>1</v>
      </c>
      <c r="G571" s="8">
        <v>234.01</v>
      </c>
      <c r="H571" s="2" t="s">
        <v>201</v>
      </c>
      <c r="M571" t="s">
        <v>210</v>
      </c>
      <c r="P571" t="str">
        <f>VLOOKUP(M571,[1]Table1__2!$B:$C,2,FALSE)</f>
        <v>B0FJ2JBL4J</v>
      </c>
    </row>
    <row r="572" spans="1:16" x14ac:dyDescent="0.25">
      <c r="A572" s="1">
        <v>45893</v>
      </c>
      <c r="B572" t="str">
        <f t="shared" si="0"/>
        <v>B0FJ2GXG5K</v>
      </c>
      <c r="C572" t="s">
        <v>206</v>
      </c>
      <c r="D572" t="s">
        <v>199</v>
      </c>
      <c r="E572" t="s">
        <v>207</v>
      </c>
      <c r="F572">
        <v>1</v>
      </c>
      <c r="G572" s="8">
        <v>234.01</v>
      </c>
      <c r="H572" s="2" t="s">
        <v>201</v>
      </c>
      <c r="M572" t="s">
        <v>207</v>
      </c>
      <c r="P572" t="str">
        <f>VLOOKUP(M572,[1]Table1__2!$B:$C,2,FALSE)</f>
        <v>B0FJ2GXG5K</v>
      </c>
    </row>
    <row r="573" spans="1:16" x14ac:dyDescent="0.25">
      <c r="A573" s="1">
        <v>45893</v>
      </c>
      <c r="B573" t="str">
        <f t="shared" si="0"/>
        <v>B0FJ2K6919</v>
      </c>
      <c r="C573" t="s">
        <v>211</v>
      </c>
      <c r="D573" t="s">
        <v>199</v>
      </c>
      <c r="E573" t="s">
        <v>212</v>
      </c>
      <c r="F573">
        <v>1</v>
      </c>
      <c r="G573" s="8">
        <v>211</v>
      </c>
      <c r="H573" s="2" t="s">
        <v>201</v>
      </c>
      <c r="M573" t="s">
        <v>212</v>
      </c>
      <c r="P573" t="str">
        <f>VLOOKUP(M573,[1]Table1__2!$B:$C,2,FALSE)</f>
        <v>B0FJ2K6919</v>
      </c>
    </row>
    <row r="574" spans="1:16" x14ac:dyDescent="0.25">
      <c r="A574" s="1">
        <v>45893</v>
      </c>
      <c r="B574" t="str">
        <f t="shared" si="0"/>
        <v>B0FJ2JBL4J</v>
      </c>
      <c r="C574" t="s">
        <v>209</v>
      </c>
      <c r="D574" t="s">
        <v>199</v>
      </c>
      <c r="E574" t="s">
        <v>210</v>
      </c>
      <c r="F574">
        <v>1</v>
      </c>
      <c r="G574" s="8">
        <v>234.01</v>
      </c>
      <c r="H574" s="2" t="s">
        <v>201</v>
      </c>
      <c r="M574" t="s">
        <v>210</v>
      </c>
      <c r="P574" t="str">
        <f>VLOOKUP(M574,[1]Table1__2!$B:$C,2,FALSE)</f>
        <v>B0FJ2JBL4J</v>
      </c>
    </row>
    <row r="575" spans="1:16" x14ac:dyDescent="0.25">
      <c r="A575" s="1">
        <v>45893</v>
      </c>
      <c r="B575" t="str">
        <f t="shared" si="0"/>
        <v>B0FJ2JBL4J</v>
      </c>
      <c r="C575" t="s">
        <v>209</v>
      </c>
      <c r="D575" t="s">
        <v>199</v>
      </c>
      <c r="E575" t="s">
        <v>210</v>
      </c>
      <c r="F575">
        <v>1</v>
      </c>
      <c r="G575" s="8">
        <v>234.01</v>
      </c>
      <c r="H575" s="2" t="s">
        <v>201</v>
      </c>
      <c r="M575" t="s">
        <v>210</v>
      </c>
      <c r="P575" t="str">
        <f>VLOOKUP(M575,[1]Table1__2!$B:$C,2,FALSE)</f>
        <v>B0FJ2JBL4J</v>
      </c>
    </row>
    <row r="576" spans="1:16" x14ac:dyDescent="0.25">
      <c r="A576" s="1">
        <v>45893</v>
      </c>
      <c r="B576" t="str">
        <f t="shared" si="0"/>
        <v>B0FJ2JBL4J</v>
      </c>
      <c r="C576" t="s">
        <v>209</v>
      </c>
      <c r="D576" t="s">
        <v>199</v>
      </c>
      <c r="E576" t="s">
        <v>210</v>
      </c>
      <c r="F576">
        <v>1</v>
      </c>
      <c r="G576" s="8">
        <v>234.01</v>
      </c>
      <c r="H576" s="2" t="s">
        <v>201</v>
      </c>
      <c r="M576" t="s">
        <v>210</v>
      </c>
      <c r="P576" t="str">
        <f>VLOOKUP(M576,[1]Table1__2!$B:$C,2,FALSE)</f>
        <v>B0FJ2JBL4J</v>
      </c>
    </row>
    <row r="577" spans="1:16" x14ac:dyDescent="0.25">
      <c r="A577" s="1">
        <v>45893</v>
      </c>
      <c r="B577" t="str">
        <f t="shared" si="0"/>
        <v>B0FJ2GXG5K</v>
      </c>
      <c r="C577" t="s">
        <v>206</v>
      </c>
      <c r="D577" t="s">
        <v>199</v>
      </c>
      <c r="E577" t="s">
        <v>207</v>
      </c>
      <c r="F577">
        <v>1</v>
      </c>
      <c r="G577" s="8">
        <v>234.01</v>
      </c>
      <c r="H577" s="2" t="s">
        <v>201</v>
      </c>
      <c r="M577" t="s">
        <v>207</v>
      </c>
      <c r="P577" t="str">
        <f>VLOOKUP(M577,[1]Table1__2!$B:$C,2,FALSE)</f>
        <v>B0FJ2GXG5K</v>
      </c>
    </row>
    <row r="578" spans="1:16" x14ac:dyDescent="0.25">
      <c r="A578" s="1">
        <v>45893</v>
      </c>
      <c r="B578" t="str">
        <f t="shared" si="0"/>
        <v>B0FJ2JHL43</v>
      </c>
      <c r="C578" t="s">
        <v>202</v>
      </c>
      <c r="D578" t="s">
        <v>199</v>
      </c>
      <c r="E578" t="s">
        <v>203</v>
      </c>
      <c r="F578">
        <v>1</v>
      </c>
      <c r="G578" s="8">
        <v>293.01</v>
      </c>
      <c r="H578" s="2" t="s">
        <v>201</v>
      </c>
      <c r="M578" t="s">
        <v>203</v>
      </c>
      <c r="P578" t="str">
        <f>VLOOKUP(M578,[1]Table1__2!$B:$C,2,FALSE)</f>
        <v>B0FJ2JHL43</v>
      </c>
    </row>
    <row r="579" spans="1:16" x14ac:dyDescent="0.25">
      <c r="A579" s="1">
        <v>45893</v>
      </c>
      <c r="B579" t="str">
        <f t="shared" si="0"/>
        <v>B0FJ2K6919</v>
      </c>
      <c r="C579" t="s">
        <v>211</v>
      </c>
      <c r="D579" t="s">
        <v>199</v>
      </c>
      <c r="E579" t="s">
        <v>212</v>
      </c>
      <c r="F579">
        <v>1</v>
      </c>
      <c r="G579" s="8">
        <v>211</v>
      </c>
      <c r="H579" s="2" t="s">
        <v>201</v>
      </c>
      <c r="M579" t="s">
        <v>212</v>
      </c>
      <c r="P579" t="str">
        <f>VLOOKUP(M579,[1]Table1__2!$B:$C,2,FALSE)</f>
        <v>B0FJ2K6919</v>
      </c>
    </row>
    <row r="580" spans="1:16" x14ac:dyDescent="0.25">
      <c r="A580" s="1">
        <v>45893</v>
      </c>
      <c r="B580" t="str">
        <f t="shared" si="0"/>
        <v>B0FJ2J1JL6</v>
      </c>
      <c r="C580" t="s">
        <v>198</v>
      </c>
      <c r="D580" t="s">
        <v>199</v>
      </c>
      <c r="E580" t="s">
        <v>200</v>
      </c>
      <c r="F580">
        <v>1</v>
      </c>
      <c r="G580" s="8">
        <v>234.01</v>
      </c>
      <c r="H580" s="2" t="s">
        <v>201</v>
      </c>
      <c r="M580" t="s">
        <v>200</v>
      </c>
      <c r="P580" t="str">
        <f>VLOOKUP(M580,[1]Table1__2!$B:$C,2,FALSE)</f>
        <v>B0FJ2J1JL6</v>
      </c>
    </row>
    <row r="581" spans="1:16" x14ac:dyDescent="0.25">
      <c r="A581" s="1">
        <v>45893</v>
      </c>
      <c r="B581" t="str">
        <f t="shared" si="0"/>
        <v>B0DLVGWRVJ</v>
      </c>
      <c r="C581" t="s">
        <v>204</v>
      </c>
      <c r="D581" t="s">
        <v>27</v>
      </c>
      <c r="E581" t="s">
        <v>208</v>
      </c>
      <c r="F581">
        <v>1</v>
      </c>
      <c r="G581" s="8">
        <v>1749</v>
      </c>
      <c r="H581" s="2" t="s">
        <v>201</v>
      </c>
      <c r="M581" t="s">
        <v>208</v>
      </c>
      <c r="P581" t="str">
        <f>VLOOKUP(M581,[1]Table1__2!$B:$C,2,FALSE)</f>
        <v>B0DLVGWRVJ</v>
      </c>
    </row>
    <row r="582" spans="1:16" x14ac:dyDescent="0.25">
      <c r="A582" s="1">
        <v>45893</v>
      </c>
      <c r="B582" t="str">
        <f t="shared" si="0"/>
        <v>B0FJ2GXG5K</v>
      </c>
      <c r="C582" t="s">
        <v>206</v>
      </c>
      <c r="D582" t="s">
        <v>199</v>
      </c>
      <c r="E582" t="s">
        <v>207</v>
      </c>
      <c r="F582">
        <v>1</v>
      </c>
      <c r="G582" s="8">
        <v>234.01</v>
      </c>
      <c r="H582" s="2" t="s">
        <v>201</v>
      </c>
      <c r="M582" t="s">
        <v>207</v>
      </c>
      <c r="P582" t="str">
        <f>VLOOKUP(M582,[1]Table1__2!$B:$C,2,FALSE)</f>
        <v>B0FJ2GXG5K</v>
      </c>
    </row>
    <row r="583" spans="1:16" x14ac:dyDescent="0.25">
      <c r="A583" s="1">
        <v>45893</v>
      </c>
      <c r="B583" t="str">
        <f t="shared" si="0"/>
        <v>B0FJ2GXG5K</v>
      </c>
      <c r="C583" t="s">
        <v>206</v>
      </c>
      <c r="D583" t="s">
        <v>199</v>
      </c>
      <c r="E583" t="s">
        <v>207</v>
      </c>
      <c r="F583">
        <v>1</v>
      </c>
      <c r="G583" s="8">
        <v>234.01</v>
      </c>
      <c r="H583" s="2" t="s">
        <v>201</v>
      </c>
      <c r="M583" t="s">
        <v>207</v>
      </c>
      <c r="P583" t="str">
        <f>VLOOKUP(M583,[1]Table1__2!$B:$C,2,FALSE)</f>
        <v>B0FJ2GXG5K</v>
      </c>
    </row>
    <row r="584" spans="1:16" x14ac:dyDescent="0.25">
      <c r="A584" s="1">
        <v>45893</v>
      </c>
      <c r="B584" t="str">
        <f t="shared" si="0"/>
        <v>B0FJ2BZWXK</v>
      </c>
      <c r="C584" t="s">
        <v>214</v>
      </c>
      <c r="D584" t="s">
        <v>199</v>
      </c>
      <c r="E584" t="s">
        <v>215</v>
      </c>
      <c r="F584">
        <v>1</v>
      </c>
      <c r="G584" s="8">
        <v>234.01</v>
      </c>
      <c r="H584" s="2" t="s">
        <v>201</v>
      </c>
      <c r="M584" t="s">
        <v>215</v>
      </c>
      <c r="P584" t="str">
        <f>VLOOKUP(M584,[1]Table1__2!$B:$C,2,FALSE)</f>
        <v>B0FJ2BZWXK</v>
      </c>
    </row>
    <row r="585" spans="1:16" x14ac:dyDescent="0.25">
      <c r="A585" s="1">
        <v>45893</v>
      </c>
      <c r="B585" t="str">
        <f t="shared" si="0"/>
        <v>B0FJ2BZWXK</v>
      </c>
      <c r="C585" t="s">
        <v>214</v>
      </c>
      <c r="D585" t="s">
        <v>199</v>
      </c>
      <c r="E585" t="s">
        <v>215</v>
      </c>
      <c r="F585">
        <v>1</v>
      </c>
      <c r="G585" s="8">
        <v>234.01</v>
      </c>
      <c r="H585" s="2" t="s">
        <v>201</v>
      </c>
      <c r="M585" t="s">
        <v>215</v>
      </c>
      <c r="P585" t="str">
        <f>VLOOKUP(M585,[1]Table1__2!$B:$C,2,FALSE)</f>
        <v>B0FJ2BZWXK</v>
      </c>
    </row>
    <row r="586" spans="1:16" x14ac:dyDescent="0.25">
      <c r="A586" s="1">
        <v>45893</v>
      </c>
      <c r="B586" t="str">
        <f t="shared" si="0"/>
        <v>B0FJ2J1JL6</v>
      </c>
      <c r="C586" t="s">
        <v>198</v>
      </c>
      <c r="D586" t="s">
        <v>199</v>
      </c>
      <c r="E586" t="s">
        <v>200</v>
      </c>
      <c r="F586">
        <v>1</v>
      </c>
      <c r="G586" s="8">
        <v>234.01</v>
      </c>
      <c r="H586" s="2" t="s">
        <v>201</v>
      </c>
      <c r="M586" t="s">
        <v>200</v>
      </c>
      <c r="P586" t="str">
        <f>VLOOKUP(M586,[1]Table1__2!$B:$C,2,FALSE)</f>
        <v>B0FJ2J1JL6</v>
      </c>
    </row>
    <row r="587" spans="1:16" x14ac:dyDescent="0.25">
      <c r="A587" s="1">
        <v>45893</v>
      </c>
      <c r="B587" t="str">
        <f t="shared" si="0"/>
        <v>B0FJ2JBL4J</v>
      </c>
      <c r="C587" t="s">
        <v>209</v>
      </c>
      <c r="D587" t="s">
        <v>199</v>
      </c>
      <c r="E587" t="s">
        <v>210</v>
      </c>
      <c r="F587">
        <v>1</v>
      </c>
      <c r="G587" s="8">
        <v>234.01</v>
      </c>
      <c r="H587" s="2" t="s">
        <v>201</v>
      </c>
      <c r="M587" t="s">
        <v>210</v>
      </c>
      <c r="P587" t="str">
        <f>VLOOKUP(M587,[1]Table1__2!$B:$C,2,FALSE)</f>
        <v>B0FJ2JBL4J</v>
      </c>
    </row>
    <row r="588" spans="1:16" x14ac:dyDescent="0.25">
      <c r="A588" s="1">
        <v>45893</v>
      </c>
      <c r="B588" t="str">
        <f t="shared" si="0"/>
        <v>B0DL5SN9XJ</v>
      </c>
      <c r="C588" t="s">
        <v>204</v>
      </c>
      <c r="D588" t="s">
        <v>27</v>
      </c>
      <c r="E588" t="s">
        <v>216</v>
      </c>
      <c r="F588">
        <v>1</v>
      </c>
      <c r="G588" s="8">
        <v>1975</v>
      </c>
      <c r="H588" s="2" t="s">
        <v>201</v>
      </c>
      <c r="M588" t="s">
        <v>216</v>
      </c>
      <c r="P588" t="str">
        <f>VLOOKUP(M588,[1]Table1__2!$B:$C,2,FALSE)</f>
        <v>B0DL5SN9XJ</v>
      </c>
    </row>
    <row r="589" spans="1:16" x14ac:dyDescent="0.25">
      <c r="A589" s="1">
        <v>45893</v>
      </c>
      <c r="B589" t="str">
        <f t="shared" si="0"/>
        <v>B0DLVGWRVJ</v>
      </c>
      <c r="C589" t="s">
        <v>204</v>
      </c>
      <c r="D589" t="s">
        <v>27</v>
      </c>
      <c r="E589" t="s">
        <v>208</v>
      </c>
      <c r="F589">
        <v>1</v>
      </c>
      <c r="G589" s="8">
        <v>1749</v>
      </c>
      <c r="H589" s="2" t="s">
        <v>201</v>
      </c>
      <c r="M589" t="s">
        <v>208</v>
      </c>
      <c r="P589" t="str">
        <f>VLOOKUP(M589,[1]Table1__2!$B:$C,2,FALSE)</f>
        <v>B0DLVGWRVJ</v>
      </c>
    </row>
    <row r="590" spans="1:16" x14ac:dyDescent="0.25">
      <c r="A590" s="1">
        <v>45893</v>
      </c>
      <c r="B590" t="str">
        <f t="shared" si="0"/>
        <v>B0FJ2JBL4J</v>
      </c>
      <c r="C590" t="s">
        <v>209</v>
      </c>
      <c r="D590" t="s">
        <v>199</v>
      </c>
      <c r="E590" t="s">
        <v>210</v>
      </c>
      <c r="F590">
        <v>1</v>
      </c>
      <c r="G590" s="8">
        <v>234.01</v>
      </c>
      <c r="H590" s="2" t="s">
        <v>201</v>
      </c>
      <c r="M590" t="s">
        <v>210</v>
      </c>
      <c r="P590" t="str">
        <f>VLOOKUP(M590,[1]Table1__2!$B:$C,2,FALSE)</f>
        <v>B0FJ2JBL4J</v>
      </c>
    </row>
    <row r="591" spans="1:16" x14ac:dyDescent="0.25">
      <c r="A591" s="1">
        <v>45893</v>
      </c>
      <c r="B591" t="str">
        <f t="shared" si="0"/>
        <v>B0FJ2BZWXK</v>
      </c>
      <c r="C591" t="s">
        <v>214</v>
      </c>
      <c r="D591" t="s">
        <v>199</v>
      </c>
      <c r="E591" t="s">
        <v>215</v>
      </c>
      <c r="F591">
        <v>1</v>
      </c>
      <c r="G591" s="8">
        <v>234.01</v>
      </c>
      <c r="H591" s="2" t="s">
        <v>201</v>
      </c>
      <c r="M591" t="s">
        <v>215</v>
      </c>
      <c r="P591" t="str">
        <f>VLOOKUP(M591,[1]Table1__2!$B:$C,2,FALSE)</f>
        <v>B0FJ2BZWXK</v>
      </c>
    </row>
    <row r="592" spans="1:16" x14ac:dyDescent="0.25">
      <c r="A592" s="1">
        <v>45893</v>
      </c>
      <c r="B592" t="str">
        <f t="shared" si="0"/>
        <v>B0FJ2JHL43</v>
      </c>
      <c r="C592" t="s">
        <v>202</v>
      </c>
      <c r="D592" t="s">
        <v>199</v>
      </c>
      <c r="E592" t="s">
        <v>203</v>
      </c>
      <c r="F592">
        <v>1</v>
      </c>
      <c r="G592" s="8">
        <v>293.01</v>
      </c>
      <c r="H592" s="2" t="s">
        <v>201</v>
      </c>
      <c r="M592" t="s">
        <v>203</v>
      </c>
      <c r="P592" t="str">
        <f>VLOOKUP(M592,[1]Table1__2!$B:$C,2,FALSE)</f>
        <v>B0FJ2JHL43</v>
      </c>
    </row>
    <row r="593" spans="1:16" x14ac:dyDescent="0.25">
      <c r="A593" s="1">
        <v>45893</v>
      </c>
      <c r="B593" t="str">
        <f t="shared" si="0"/>
        <v>B0DLVGWRVJ</v>
      </c>
      <c r="C593" t="s">
        <v>204</v>
      </c>
      <c r="D593" t="s">
        <v>27</v>
      </c>
      <c r="E593" t="s">
        <v>208</v>
      </c>
      <c r="F593">
        <v>1</v>
      </c>
      <c r="G593" s="8">
        <v>1749</v>
      </c>
      <c r="H593" s="2" t="s">
        <v>201</v>
      </c>
      <c r="M593" t="s">
        <v>208</v>
      </c>
      <c r="P593" t="str">
        <f>VLOOKUP(M593,[1]Table1__2!$B:$C,2,FALSE)</f>
        <v>B0DLVGWRVJ</v>
      </c>
    </row>
    <row r="594" spans="1:16" x14ac:dyDescent="0.25">
      <c r="A594" s="1">
        <v>45893</v>
      </c>
      <c r="B594" t="str">
        <f t="shared" si="0"/>
        <v>B0FJ2JHL43</v>
      </c>
      <c r="C594" t="s">
        <v>202</v>
      </c>
      <c r="D594" t="s">
        <v>199</v>
      </c>
      <c r="E594" t="s">
        <v>203</v>
      </c>
      <c r="F594">
        <v>1</v>
      </c>
      <c r="G594" s="8">
        <v>293.01</v>
      </c>
      <c r="H594" s="2" t="s">
        <v>201</v>
      </c>
      <c r="M594" t="s">
        <v>203</v>
      </c>
      <c r="P594" t="str">
        <f>VLOOKUP(M594,[1]Table1__2!$B:$C,2,FALSE)</f>
        <v>B0FJ2JHL43</v>
      </c>
    </row>
    <row r="595" spans="1:16" x14ac:dyDescent="0.25">
      <c r="A595" s="1">
        <v>45893</v>
      </c>
      <c r="B595" t="str">
        <f t="shared" si="0"/>
        <v>B0FJ2BZWXK</v>
      </c>
      <c r="C595" t="s">
        <v>214</v>
      </c>
      <c r="D595" t="s">
        <v>199</v>
      </c>
      <c r="E595" t="s">
        <v>215</v>
      </c>
      <c r="F595">
        <v>1</v>
      </c>
      <c r="G595" s="8">
        <v>234.01</v>
      </c>
      <c r="H595" s="2" t="s">
        <v>201</v>
      </c>
      <c r="M595" t="s">
        <v>215</v>
      </c>
      <c r="P595" t="str">
        <f>VLOOKUP(M595,[1]Table1__2!$B:$C,2,FALSE)</f>
        <v>B0FJ2BZWXK</v>
      </c>
    </row>
    <row r="596" spans="1:16" x14ac:dyDescent="0.25">
      <c r="A596" s="1">
        <v>45893</v>
      </c>
      <c r="B596" t="str">
        <f t="shared" si="0"/>
        <v>B0FJ2BZWXK</v>
      </c>
      <c r="C596" t="s">
        <v>214</v>
      </c>
      <c r="D596" t="s">
        <v>199</v>
      </c>
      <c r="E596" t="s">
        <v>215</v>
      </c>
      <c r="F596">
        <v>1</v>
      </c>
      <c r="G596" s="8">
        <v>234.01</v>
      </c>
      <c r="H596" s="2" t="s">
        <v>201</v>
      </c>
      <c r="M596" t="s">
        <v>215</v>
      </c>
      <c r="P596" t="str">
        <f>VLOOKUP(M596,[1]Table1__2!$B:$C,2,FALSE)</f>
        <v>B0FJ2BZWXK</v>
      </c>
    </row>
    <row r="597" spans="1:16" x14ac:dyDescent="0.25">
      <c r="A597" s="1">
        <v>45893</v>
      </c>
      <c r="B597" t="str">
        <f t="shared" si="0"/>
        <v>B0FJ2J1JL6</v>
      </c>
      <c r="C597" t="s">
        <v>198</v>
      </c>
      <c r="D597" t="s">
        <v>199</v>
      </c>
      <c r="E597" t="s">
        <v>200</v>
      </c>
      <c r="F597">
        <v>1</v>
      </c>
      <c r="G597" s="8">
        <v>234.01</v>
      </c>
      <c r="H597" s="2" t="s">
        <v>201</v>
      </c>
      <c r="M597" t="s">
        <v>200</v>
      </c>
      <c r="P597" t="str">
        <f>VLOOKUP(M597,[1]Table1__2!$B:$C,2,FALSE)</f>
        <v>B0FJ2J1JL6</v>
      </c>
    </row>
    <row r="598" spans="1:16" x14ac:dyDescent="0.25">
      <c r="A598" s="1">
        <v>45893</v>
      </c>
      <c r="B598" t="str">
        <f t="shared" si="0"/>
        <v>B0FJ2BZWXK</v>
      </c>
      <c r="C598" t="s">
        <v>214</v>
      </c>
      <c r="D598" t="s">
        <v>199</v>
      </c>
      <c r="E598" t="s">
        <v>215</v>
      </c>
      <c r="F598">
        <v>1</v>
      </c>
      <c r="G598" s="8">
        <v>234.01</v>
      </c>
      <c r="H598" s="2" t="s">
        <v>201</v>
      </c>
      <c r="M598" t="s">
        <v>215</v>
      </c>
      <c r="P598" t="str">
        <f>VLOOKUP(M598,[1]Table1__2!$B:$C,2,FALSE)</f>
        <v>B0FJ2BZWXK</v>
      </c>
    </row>
    <row r="599" spans="1:16" x14ac:dyDescent="0.25">
      <c r="A599" s="1">
        <v>45893</v>
      </c>
      <c r="B599" t="str">
        <f t="shared" si="0"/>
        <v>B0FJ2K6919</v>
      </c>
      <c r="C599" t="s">
        <v>211</v>
      </c>
      <c r="D599" t="s">
        <v>199</v>
      </c>
      <c r="E599" t="s">
        <v>212</v>
      </c>
      <c r="F599">
        <v>1</v>
      </c>
      <c r="G599" s="8">
        <v>211</v>
      </c>
      <c r="H599" s="2" t="s">
        <v>201</v>
      </c>
      <c r="M599" t="s">
        <v>212</v>
      </c>
      <c r="P599" t="str">
        <f>VLOOKUP(M599,[1]Table1__2!$B:$C,2,FALSE)</f>
        <v>B0FJ2K6919</v>
      </c>
    </row>
    <row r="600" spans="1:16" x14ac:dyDescent="0.25">
      <c r="A600" s="1">
        <v>45893</v>
      </c>
      <c r="B600" t="str">
        <f t="shared" si="0"/>
        <v>B0DLVGWRVJ</v>
      </c>
      <c r="C600" t="s">
        <v>204</v>
      </c>
      <c r="D600" t="s">
        <v>27</v>
      </c>
      <c r="E600" t="s">
        <v>208</v>
      </c>
      <c r="F600">
        <v>1</v>
      </c>
      <c r="G600" s="8">
        <v>1749</v>
      </c>
      <c r="H600" s="2" t="s">
        <v>201</v>
      </c>
      <c r="M600" t="s">
        <v>208</v>
      </c>
      <c r="P600" t="str">
        <f>VLOOKUP(M600,[1]Table1__2!$B:$C,2,FALSE)</f>
        <v>B0DLVGWRVJ</v>
      </c>
    </row>
    <row r="601" spans="1:16" x14ac:dyDescent="0.25">
      <c r="A601" s="1">
        <v>45893</v>
      </c>
      <c r="B601" t="str">
        <f t="shared" si="0"/>
        <v>B0FJ2JHL43</v>
      </c>
      <c r="C601" t="s">
        <v>202</v>
      </c>
      <c r="D601" t="s">
        <v>199</v>
      </c>
      <c r="E601" t="s">
        <v>203</v>
      </c>
      <c r="F601">
        <v>1</v>
      </c>
      <c r="G601" s="8">
        <v>293.01</v>
      </c>
      <c r="H601" s="2" t="s">
        <v>201</v>
      </c>
      <c r="M601" t="s">
        <v>203</v>
      </c>
      <c r="P601" t="str">
        <f>VLOOKUP(M601,[1]Table1__2!$B:$C,2,FALSE)</f>
        <v>B0FJ2JHL43</v>
      </c>
    </row>
    <row r="602" spans="1:16" x14ac:dyDescent="0.25">
      <c r="A602" s="1">
        <v>45893</v>
      </c>
      <c r="B602" t="str">
        <f t="shared" si="0"/>
        <v>B0FJ2JHL43</v>
      </c>
      <c r="C602" t="s">
        <v>202</v>
      </c>
      <c r="D602" t="s">
        <v>199</v>
      </c>
      <c r="E602" t="s">
        <v>203</v>
      </c>
      <c r="F602">
        <v>1</v>
      </c>
      <c r="G602" s="8">
        <v>293.01</v>
      </c>
      <c r="H602" s="2" t="s">
        <v>201</v>
      </c>
      <c r="M602" t="s">
        <v>203</v>
      </c>
      <c r="P602" t="str">
        <f>VLOOKUP(M602,[1]Table1__2!$B:$C,2,FALSE)</f>
        <v>B0FJ2JHL43</v>
      </c>
    </row>
    <row r="603" spans="1:16" x14ac:dyDescent="0.25">
      <c r="A603" s="1">
        <v>45893</v>
      </c>
      <c r="B603" t="str">
        <f t="shared" si="0"/>
        <v>B0FJ2BZWXK</v>
      </c>
      <c r="C603" t="s">
        <v>214</v>
      </c>
      <c r="D603" t="s">
        <v>199</v>
      </c>
      <c r="E603" t="s">
        <v>215</v>
      </c>
      <c r="F603">
        <v>1</v>
      </c>
      <c r="G603" s="8">
        <v>234.01</v>
      </c>
      <c r="H603" s="2" t="s">
        <v>201</v>
      </c>
      <c r="M603" t="s">
        <v>215</v>
      </c>
      <c r="P603" t="str">
        <f>VLOOKUP(M603,[1]Table1__2!$B:$C,2,FALSE)</f>
        <v>B0FJ2BZWXK</v>
      </c>
    </row>
    <row r="604" spans="1:16" x14ac:dyDescent="0.25">
      <c r="A604" s="1">
        <v>45893</v>
      </c>
      <c r="B604" t="str">
        <f t="shared" si="0"/>
        <v>B0FJ2JBL4J</v>
      </c>
      <c r="C604" t="s">
        <v>209</v>
      </c>
      <c r="D604" t="s">
        <v>199</v>
      </c>
      <c r="E604" t="s">
        <v>210</v>
      </c>
      <c r="F604">
        <v>1</v>
      </c>
      <c r="G604" s="8">
        <v>234.01</v>
      </c>
      <c r="H604" s="2" t="s">
        <v>201</v>
      </c>
      <c r="M604" t="s">
        <v>210</v>
      </c>
      <c r="P604" t="str">
        <f>VLOOKUP(M604,[1]Table1__2!$B:$C,2,FALSE)</f>
        <v>B0FJ2JBL4J</v>
      </c>
    </row>
    <row r="605" spans="1:16" x14ac:dyDescent="0.25">
      <c r="A605" s="1">
        <v>45893</v>
      </c>
      <c r="B605" t="str">
        <f t="shared" si="0"/>
        <v>B0FJ2BZWXK</v>
      </c>
      <c r="C605" t="s">
        <v>214</v>
      </c>
      <c r="D605" t="s">
        <v>199</v>
      </c>
      <c r="E605" t="s">
        <v>215</v>
      </c>
      <c r="F605">
        <v>1</v>
      </c>
      <c r="G605" s="8">
        <v>234.01</v>
      </c>
      <c r="H605" s="2" t="s">
        <v>201</v>
      </c>
      <c r="M605" t="s">
        <v>215</v>
      </c>
      <c r="P605" t="str">
        <f>VLOOKUP(M605,[1]Table1__2!$B:$C,2,FALSE)</f>
        <v>B0FJ2BZWXK</v>
      </c>
    </row>
    <row r="606" spans="1:16" x14ac:dyDescent="0.25">
      <c r="A606" s="1">
        <v>45893</v>
      </c>
      <c r="B606" t="str">
        <f t="shared" si="0"/>
        <v>B0FJ2J1JL6</v>
      </c>
      <c r="C606" t="s">
        <v>198</v>
      </c>
      <c r="D606" t="s">
        <v>199</v>
      </c>
      <c r="E606" t="s">
        <v>200</v>
      </c>
      <c r="F606">
        <v>1</v>
      </c>
      <c r="G606" s="8">
        <v>234.01</v>
      </c>
      <c r="H606" s="2" t="s">
        <v>201</v>
      </c>
      <c r="M606" t="s">
        <v>200</v>
      </c>
      <c r="P606" t="str">
        <f>VLOOKUP(M606,[1]Table1__2!$B:$C,2,FALSE)</f>
        <v>B0FJ2J1JL6</v>
      </c>
    </row>
    <row r="607" spans="1:16" x14ac:dyDescent="0.25">
      <c r="A607" s="1">
        <v>45893</v>
      </c>
      <c r="B607" t="str">
        <f t="shared" si="0"/>
        <v>B0FJ2GXG5K</v>
      </c>
      <c r="C607" t="s">
        <v>206</v>
      </c>
      <c r="D607" t="s">
        <v>199</v>
      </c>
      <c r="E607" t="s">
        <v>207</v>
      </c>
      <c r="F607">
        <v>1</v>
      </c>
      <c r="G607" s="8">
        <v>234.01</v>
      </c>
      <c r="H607" s="2" t="s">
        <v>201</v>
      </c>
      <c r="M607" t="s">
        <v>207</v>
      </c>
      <c r="P607" t="str">
        <f>VLOOKUP(M607,[1]Table1__2!$B:$C,2,FALSE)</f>
        <v>B0FJ2GXG5K</v>
      </c>
    </row>
    <row r="608" spans="1:16" x14ac:dyDescent="0.25">
      <c r="A608" s="1">
        <v>45893</v>
      </c>
      <c r="B608" t="str">
        <f t="shared" si="0"/>
        <v>B0FJ2GXG5K</v>
      </c>
      <c r="C608" t="s">
        <v>206</v>
      </c>
      <c r="D608" t="s">
        <v>199</v>
      </c>
      <c r="E608" t="s">
        <v>207</v>
      </c>
      <c r="F608">
        <v>1</v>
      </c>
      <c r="G608" s="8">
        <v>234.01</v>
      </c>
      <c r="H608" s="2" t="s">
        <v>201</v>
      </c>
      <c r="M608" t="s">
        <v>207</v>
      </c>
      <c r="P608" t="str">
        <f>VLOOKUP(M608,[1]Table1__2!$B:$C,2,FALSE)</f>
        <v>B0FJ2GXG5K</v>
      </c>
    </row>
    <row r="609" spans="1:16" x14ac:dyDescent="0.25">
      <c r="A609" s="1">
        <v>45893</v>
      </c>
      <c r="B609" t="str">
        <f t="shared" si="0"/>
        <v>B0FJ2K6919</v>
      </c>
      <c r="C609" t="s">
        <v>211</v>
      </c>
      <c r="D609" t="s">
        <v>199</v>
      </c>
      <c r="E609" t="s">
        <v>212</v>
      </c>
      <c r="F609">
        <v>1</v>
      </c>
      <c r="G609" s="8">
        <v>211</v>
      </c>
      <c r="H609" s="2" t="s">
        <v>201</v>
      </c>
      <c r="M609" t="s">
        <v>212</v>
      </c>
      <c r="P609" t="str">
        <f>VLOOKUP(M609,[1]Table1__2!$B:$C,2,FALSE)</f>
        <v>B0FJ2K6919</v>
      </c>
    </row>
    <row r="610" spans="1:16" x14ac:dyDescent="0.25">
      <c r="A610" s="1">
        <v>45893</v>
      </c>
      <c r="B610" t="str">
        <f t="shared" si="0"/>
        <v>B0DLVGWRVJ</v>
      </c>
      <c r="C610" t="s">
        <v>204</v>
      </c>
      <c r="D610" t="s">
        <v>27</v>
      </c>
      <c r="E610" t="s">
        <v>208</v>
      </c>
      <c r="F610">
        <v>1</v>
      </c>
      <c r="G610" s="8">
        <v>1749</v>
      </c>
      <c r="H610" s="2" t="s">
        <v>201</v>
      </c>
      <c r="M610" t="s">
        <v>208</v>
      </c>
      <c r="P610" t="str">
        <f>VLOOKUP(M610,[1]Table1__2!$B:$C,2,FALSE)</f>
        <v>B0DLVGWRVJ</v>
      </c>
    </row>
    <row r="611" spans="1:16" x14ac:dyDescent="0.25">
      <c r="A611" s="1">
        <v>45893</v>
      </c>
      <c r="B611" t="str">
        <f t="shared" si="0"/>
        <v>B0FJ2JBL4J</v>
      </c>
      <c r="C611" t="s">
        <v>209</v>
      </c>
      <c r="D611" t="s">
        <v>199</v>
      </c>
      <c r="E611" t="s">
        <v>210</v>
      </c>
      <c r="F611">
        <v>1</v>
      </c>
      <c r="G611" s="8">
        <v>234.01</v>
      </c>
      <c r="H611" s="2" t="s">
        <v>201</v>
      </c>
      <c r="M611" t="s">
        <v>210</v>
      </c>
      <c r="P611" t="str">
        <f>VLOOKUP(M611,[1]Table1__2!$B:$C,2,FALSE)</f>
        <v>B0FJ2JBL4J</v>
      </c>
    </row>
    <row r="612" spans="1:16" x14ac:dyDescent="0.25">
      <c r="A612" s="1">
        <v>45893</v>
      </c>
      <c r="B612" t="str">
        <f t="shared" si="0"/>
        <v>B0FJ2K6919</v>
      </c>
      <c r="C612" t="s">
        <v>211</v>
      </c>
      <c r="D612" t="s">
        <v>199</v>
      </c>
      <c r="E612" t="s">
        <v>212</v>
      </c>
      <c r="F612">
        <v>1</v>
      </c>
      <c r="G612" s="8">
        <v>211</v>
      </c>
      <c r="H612" s="2" t="s">
        <v>201</v>
      </c>
      <c r="M612" t="s">
        <v>212</v>
      </c>
      <c r="P612" t="str">
        <f>VLOOKUP(M612,[1]Table1__2!$B:$C,2,FALSE)</f>
        <v>B0FJ2K6919</v>
      </c>
    </row>
    <row r="613" spans="1:16" x14ac:dyDescent="0.25">
      <c r="A613" s="1">
        <v>45893</v>
      </c>
      <c r="B613" t="str">
        <f t="shared" si="0"/>
        <v>B0FJ2BZWXK</v>
      </c>
      <c r="C613" t="s">
        <v>214</v>
      </c>
      <c r="D613" t="s">
        <v>199</v>
      </c>
      <c r="E613" t="s">
        <v>215</v>
      </c>
      <c r="F613">
        <v>1</v>
      </c>
      <c r="G613" s="8">
        <v>234.01</v>
      </c>
      <c r="H613" s="2" t="s">
        <v>201</v>
      </c>
      <c r="M613" t="s">
        <v>215</v>
      </c>
      <c r="P613" t="str">
        <f>VLOOKUP(M613,[1]Table1__2!$B:$C,2,FALSE)</f>
        <v>B0FJ2BZWXK</v>
      </c>
    </row>
    <row r="614" spans="1:16" x14ac:dyDescent="0.25">
      <c r="A614" s="1">
        <v>45893</v>
      </c>
      <c r="B614" t="str">
        <f t="shared" si="0"/>
        <v>B0FJ2JBL4J</v>
      </c>
      <c r="C614" t="s">
        <v>209</v>
      </c>
      <c r="D614" t="s">
        <v>199</v>
      </c>
      <c r="E614" t="s">
        <v>210</v>
      </c>
      <c r="F614">
        <v>1</v>
      </c>
      <c r="G614" s="8">
        <v>234.01</v>
      </c>
      <c r="H614" s="2" t="s">
        <v>201</v>
      </c>
      <c r="M614" t="s">
        <v>210</v>
      </c>
      <c r="P614" t="str">
        <f>VLOOKUP(M614,[1]Table1__2!$B:$C,2,FALSE)</f>
        <v>B0FJ2JBL4J</v>
      </c>
    </row>
    <row r="615" spans="1:16" x14ac:dyDescent="0.25">
      <c r="A615" s="1">
        <v>45893</v>
      </c>
      <c r="B615" t="str">
        <f t="shared" si="0"/>
        <v>B0DLVGWRVJ</v>
      </c>
      <c r="C615" t="s">
        <v>204</v>
      </c>
      <c r="D615" t="s">
        <v>27</v>
      </c>
      <c r="E615" t="s">
        <v>208</v>
      </c>
      <c r="F615">
        <v>1</v>
      </c>
      <c r="G615" s="8">
        <v>1749</v>
      </c>
      <c r="H615" s="2" t="s">
        <v>201</v>
      </c>
      <c r="M615" t="s">
        <v>208</v>
      </c>
      <c r="P615" t="str">
        <f>VLOOKUP(M615,[1]Table1__2!$B:$C,2,FALSE)</f>
        <v>B0DLVGWRVJ</v>
      </c>
    </row>
    <row r="616" spans="1:16" x14ac:dyDescent="0.25">
      <c r="A616" s="1">
        <v>45893</v>
      </c>
      <c r="B616" t="str">
        <f t="shared" si="0"/>
        <v>B0FJ2BZWXK</v>
      </c>
      <c r="C616" t="s">
        <v>214</v>
      </c>
      <c r="D616" t="s">
        <v>199</v>
      </c>
      <c r="E616" t="s">
        <v>215</v>
      </c>
      <c r="F616">
        <v>1</v>
      </c>
      <c r="G616" s="8">
        <v>234.01</v>
      </c>
      <c r="H616" s="2" t="s">
        <v>201</v>
      </c>
      <c r="M616" t="s">
        <v>215</v>
      </c>
      <c r="P616" t="str">
        <f>VLOOKUP(M616,[1]Table1__2!$B:$C,2,FALSE)</f>
        <v>B0FJ2BZWXK</v>
      </c>
    </row>
    <row r="617" spans="1:16" x14ac:dyDescent="0.25">
      <c r="A617" s="1">
        <v>45893</v>
      </c>
      <c r="B617" t="str">
        <f t="shared" ref="B617:B680" si="1">P617</f>
        <v>B0FJ2J1JL6</v>
      </c>
      <c r="C617" t="s">
        <v>198</v>
      </c>
      <c r="D617" t="s">
        <v>199</v>
      </c>
      <c r="E617" t="s">
        <v>200</v>
      </c>
      <c r="F617">
        <v>1</v>
      </c>
      <c r="G617" s="8">
        <v>234.01</v>
      </c>
      <c r="H617" s="2" t="s">
        <v>201</v>
      </c>
      <c r="M617" t="s">
        <v>200</v>
      </c>
      <c r="P617" t="str">
        <f>VLOOKUP(M617,[1]Table1__2!$B:$C,2,FALSE)</f>
        <v>B0FJ2J1JL6</v>
      </c>
    </row>
    <row r="618" spans="1:16" x14ac:dyDescent="0.25">
      <c r="A618" s="1">
        <v>45893</v>
      </c>
      <c r="B618" t="str">
        <f t="shared" si="1"/>
        <v>B0FJ2GXG5K</v>
      </c>
      <c r="C618" t="s">
        <v>206</v>
      </c>
      <c r="D618" t="s">
        <v>199</v>
      </c>
      <c r="E618" t="s">
        <v>207</v>
      </c>
      <c r="F618">
        <v>1</v>
      </c>
      <c r="G618" s="8">
        <v>234.01</v>
      </c>
      <c r="H618" s="2" t="s">
        <v>201</v>
      </c>
      <c r="M618" t="s">
        <v>207</v>
      </c>
      <c r="P618" t="str">
        <f>VLOOKUP(M618,[1]Table1__2!$B:$C,2,FALSE)</f>
        <v>B0FJ2GXG5K</v>
      </c>
    </row>
    <row r="619" spans="1:16" x14ac:dyDescent="0.25">
      <c r="A619" s="1">
        <v>45893</v>
      </c>
      <c r="B619" t="str">
        <f t="shared" si="1"/>
        <v>B0DL5Q78BV</v>
      </c>
      <c r="C619" t="s">
        <v>204</v>
      </c>
      <c r="D619" t="s">
        <v>27</v>
      </c>
      <c r="E619" t="s">
        <v>213</v>
      </c>
      <c r="F619">
        <v>1</v>
      </c>
      <c r="G619" s="8">
        <v>2575</v>
      </c>
      <c r="H619" s="2" t="s">
        <v>201</v>
      </c>
      <c r="M619" t="s">
        <v>213</v>
      </c>
      <c r="P619" t="str">
        <f>VLOOKUP(M619,[1]Table1__2!$B:$C,2,FALSE)</f>
        <v>B0DL5Q78BV</v>
      </c>
    </row>
    <row r="620" spans="1:16" x14ac:dyDescent="0.25">
      <c r="A620" s="1">
        <v>45893</v>
      </c>
      <c r="B620" t="str">
        <f t="shared" si="1"/>
        <v>B0FJ2JHL43</v>
      </c>
      <c r="C620" t="s">
        <v>202</v>
      </c>
      <c r="D620" t="s">
        <v>199</v>
      </c>
      <c r="E620" t="s">
        <v>203</v>
      </c>
      <c r="F620">
        <v>1</v>
      </c>
      <c r="G620" s="8">
        <v>293.01</v>
      </c>
      <c r="H620" s="2" t="s">
        <v>201</v>
      </c>
      <c r="M620" t="s">
        <v>203</v>
      </c>
      <c r="P620" t="str">
        <f>VLOOKUP(M620,[1]Table1__2!$B:$C,2,FALSE)</f>
        <v>B0FJ2JHL43</v>
      </c>
    </row>
    <row r="621" spans="1:16" x14ac:dyDescent="0.25">
      <c r="A621" s="1">
        <v>45893</v>
      </c>
      <c r="B621" t="str">
        <f t="shared" si="1"/>
        <v>B0FJ2J1JL6</v>
      </c>
      <c r="C621" t="s">
        <v>198</v>
      </c>
      <c r="D621" t="s">
        <v>199</v>
      </c>
      <c r="E621" t="s">
        <v>200</v>
      </c>
      <c r="F621">
        <v>1</v>
      </c>
      <c r="G621" s="8">
        <v>234.01</v>
      </c>
      <c r="H621" s="2" t="s">
        <v>201</v>
      </c>
      <c r="M621" t="s">
        <v>200</v>
      </c>
      <c r="P621" t="str">
        <f>VLOOKUP(M621,[1]Table1__2!$B:$C,2,FALSE)</f>
        <v>B0FJ2J1JL6</v>
      </c>
    </row>
    <row r="622" spans="1:16" x14ac:dyDescent="0.25">
      <c r="A622" s="1">
        <v>45893</v>
      </c>
      <c r="B622" t="str">
        <f t="shared" si="1"/>
        <v>B0FJ2JHL43</v>
      </c>
      <c r="C622" t="s">
        <v>202</v>
      </c>
      <c r="D622" t="s">
        <v>199</v>
      </c>
      <c r="E622" t="s">
        <v>203</v>
      </c>
      <c r="F622">
        <v>1</v>
      </c>
      <c r="G622" s="8">
        <v>293.01</v>
      </c>
      <c r="H622" s="2" t="s">
        <v>201</v>
      </c>
      <c r="M622" t="s">
        <v>203</v>
      </c>
      <c r="P622" t="str">
        <f>VLOOKUP(M622,[1]Table1__2!$B:$C,2,FALSE)</f>
        <v>B0FJ2JHL43</v>
      </c>
    </row>
    <row r="623" spans="1:16" x14ac:dyDescent="0.25">
      <c r="A623" s="1">
        <v>45893</v>
      </c>
      <c r="B623" t="str">
        <f t="shared" si="1"/>
        <v>B0FJ2JHL43</v>
      </c>
      <c r="C623" t="s">
        <v>202</v>
      </c>
      <c r="D623" t="s">
        <v>199</v>
      </c>
      <c r="E623" t="s">
        <v>203</v>
      </c>
      <c r="F623">
        <v>1</v>
      </c>
      <c r="G623" s="8">
        <v>293.01</v>
      </c>
      <c r="H623" s="2" t="s">
        <v>201</v>
      </c>
      <c r="M623" t="s">
        <v>203</v>
      </c>
      <c r="P623" t="str">
        <f>VLOOKUP(M623,[1]Table1__2!$B:$C,2,FALSE)</f>
        <v>B0FJ2JHL43</v>
      </c>
    </row>
    <row r="624" spans="1:16" x14ac:dyDescent="0.25">
      <c r="A624" s="1">
        <v>45893</v>
      </c>
      <c r="B624" t="str">
        <f t="shared" si="1"/>
        <v>B0FJ2BZWXK</v>
      </c>
      <c r="C624" t="s">
        <v>214</v>
      </c>
      <c r="D624" t="s">
        <v>199</v>
      </c>
      <c r="E624" t="s">
        <v>215</v>
      </c>
      <c r="F624">
        <v>1</v>
      </c>
      <c r="G624" s="8">
        <v>234.01</v>
      </c>
      <c r="H624" s="2" t="s">
        <v>201</v>
      </c>
      <c r="M624" t="s">
        <v>215</v>
      </c>
      <c r="P624" t="str">
        <f>VLOOKUP(M624,[1]Table1__2!$B:$C,2,FALSE)</f>
        <v>B0FJ2BZWXK</v>
      </c>
    </row>
    <row r="625" spans="1:16" x14ac:dyDescent="0.25">
      <c r="A625" s="1">
        <v>45893</v>
      </c>
      <c r="B625" t="str">
        <f t="shared" si="1"/>
        <v>B0FJ2JBL4J</v>
      </c>
      <c r="C625" t="s">
        <v>209</v>
      </c>
      <c r="D625" t="s">
        <v>199</v>
      </c>
      <c r="E625" t="s">
        <v>210</v>
      </c>
      <c r="F625">
        <v>1</v>
      </c>
      <c r="G625" s="8">
        <v>234.01</v>
      </c>
      <c r="H625" s="2" t="s">
        <v>201</v>
      </c>
      <c r="M625" t="s">
        <v>210</v>
      </c>
      <c r="P625" t="str">
        <f>VLOOKUP(M625,[1]Table1__2!$B:$C,2,FALSE)</f>
        <v>B0FJ2JBL4J</v>
      </c>
    </row>
    <row r="626" spans="1:16" x14ac:dyDescent="0.25">
      <c r="A626" s="1">
        <v>45893</v>
      </c>
      <c r="B626" t="str">
        <f t="shared" si="1"/>
        <v>B0FJ2JHL43</v>
      </c>
      <c r="C626" t="s">
        <v>202</v>
      </c>
      <c r="D626" t="s">
        <v>199</v>
      </c>
      <c r="E626" t="s">
        <v>203</v>
      </c>
      <c r="F626">
        <v>1</v>
      </c>
      <c r="G626" s="8">
        <v>293.01</v>
      </c>
      <c r="H626" s="2" t="s">
        <v>201</v>
      </c>
      <c r="M626" t="s">
        <v>203</v>
      </c>
      <c r="P626" t="str">
        <f>VLOOKUP(M626,[1]Table1__2!$B:$C,2,FALSE)</f>
        <v>B0FJ2JHL43</v>
      </c>
    </row>
    <row r="627" spans="1:16" x14ac:dyDescent="0.25">
      <c r="A627" s="1">
        <v>45893</v>
      </c>
      <c r="B627" t="str">
        <f t="shared" si="1"/>
        <v>B0DL5RWSYM</v>
      </c>
      <c r="C627" t="s">
        <v>204</v>
      </c>
      <c r="D627" t="s">
        <v>27</v>
      </c>
      <c r="E627" t="s">
        <v>217</v>
      </c>
      <c r="F627">
        <v>1</v>
      </c>
      <c r="G627" s="8">
        <v>1975</v>
      </c>
      <c r="H627" s="2" t="s">
        <v>201</v>
      </c>
      <c r="M627" t="s">
        <v>217</v>
      </c>
      <c r="P627" t="str">
        <f>VLOOKUP(M627,[1]Table1__2!$B:$C,2,FALSE)</f>
        <v>B0DL5RWSYM</v>
      </c>
    </row>
    <row r="628" spans="1:16" x14ac:dyDescent="0.25">
      <c r="A628" s="1">
        <v>45893</v>
      </c>
      <c r="B628" t="str">
        <f t="shared" si="1"/>
        <v>B0FJ2K6919</v>
      </c>
      <c r="C628" t="s">
        <v>211</v>
      </c>
      <c r="D628" t="s">
        <v>199</v>
      </c>
      <c r="E628" t="s">
        <v>212</v>
      </c>
      <c r="F628">
        <v>1</v>
      </c>
      <c r="G628" s="8">
        <v>211</v>
      </c>
      <c r="H628" s="2" t="s">
        <v>201</v>
      </c>
      <c r="M628" t="s">
        <v>212</v>
      </c>
      <c r="P628" t="str">
        <f>VLOOKUP(M628,[1]Table1__2!$B:$C,2,FALSE)</f>
        <v>B0FJ2K6919</v>
      </c>
    </row>
    <row r="629" spans="1:16" x14ac:dyDescent="0.25">
      <c r="A629" s="1">
        <v>45893</v>
      </c>
      <c r="B629" t="str">
        <f t="shared" si="1"/>
        <v>B0FJ2JHL43</v>
      </c>
      <c r="C629" t="s">
        <v>202</v>
      </c>
      <c r="D629" t="s">
        <v>199</v>
      </c>
      <c r="E629" t="s">
        <v>203</v>
      </c>
      <c r="F629">
        <v>1</v>
      </c>
      <c r="G629" s="8">
        <v>293.01</v>
      </c>
      <c r="H629" s="2" t="s">
        <v>201</v>
      </c>
      <c r="M629" t="s">
        <v>203</v>
      </c>
      <c r="P629" t="str">
        <f>VLOOKUP(M629,[1]Table1__2!$B:$C,2,FALSE)</f>
        <v>B0FJ2JHL43</v>
      </c>
    </row>
    <row r="630" spans="1:16" x14ac:dyDescent="0.25">
      <c r="A630" s="1">
        <v>45893</v>
      </c>
      <c r="B630" t="str">
        <f t="shared" si="1"/>
        <v>B0FJ2JHL43</v>
      </c>
      <c r="C630" t="s">
        <v>202</v>
      </c>
      <c r="D630" t="s">
        <v>199</v>
      </c>
      <c r="E630" t="s">
        <v>203</v>
      </c>
      <c r="F630">
        <v>1</v>
      </c>
      <c r="G630" s="8">
        <v>293.01</v>
      </c>
      <c r="H630" s="2" t="s">
        <v>201</v>
      </c>
      <c r="M630" t="s">
        <v>203</v>
      </c>
      <c r="P630" t="str">
        <f>VLOOKUP(M630,[1]Table1__2!$B:$C,2,FALSE)</f>
        <v>B0FJ2JHL43</v>
      </c>
    </row>
    <row r="631" spans="1:16" x14ac:dyDescent="0.25">
      <c r="A631" s="1">
        <v>45893</v>
      </c>
      <c r="B631" t="str">
        <f t="shared" si="1"/>
        <v>B0FJ2K6919</v>
      </c>
      <c r="C631" t="s">
        <v>211</v>
      </c>
      <c r="D631" t="s">
        <v>199</v>
      </c>
      <c r="E631" t="s">
        <v>212</v>
      </c>
      <c r="F631">
        <v>1</v>
      </c>
      <c r="G631" s="8">
        <v>211</v>
      </c>
      <c r="H631" s="2" t="s">
        <v>201</v>
      </c>
      <c r="M631" t="s">
        <v>212</v>
      </c>
      <c r="P631" t="str">
        <f>VLOOKUP(M631,[1]Table1__2!$B:$C,2,FALSE)</f>
        <v>B0FJ2K6919</v>
      </c>
    </row>
    <row r="632" spans="1:16" x14ac:dyDescent="0.25">
      <c r="A632" s="1">
        <v>45893</v>
      </c>
      <c r="B632" t="str">
        <f t="shared" si="1"/>
        <v>B0FJ2GXG5K</v>
      </c>
      <c r="C632" t="s">
        <v>206</v>
      </c>
      <c r="D632" t="s">
        <v>199</v>
      </c>
      <c r="E632" t="s">
        <v>207</v>
      </c>
      <c r="F632">
        <v>1</v>
      </c>
      <c r="G632" s="8">
        <v>234.01</v>
      </c>
      <c r="H632" s="2" t="s">
        <v>201</v>
      </c>
      <c r="M632" t="s">
        <v>207</v>
      </c>
      <c r="P632" t="str">
        <f>VLOOKUP(M632,[1]Table1__2!$B:$C,2,FALSE)</f>
        <v>B0FJ2GXG5K</v>
      </c>
    </row>
    <row r="633" spans="1:16" x14ac:dyDescent="0.25">
      <c r="A633" s="1">
        <v>45893</v>
      </c>
      <c r="B633" t="str">
        <f t="shared" si="1"/>
        <v>B0FJ2GXG5K</v>
      </c>
      <c r="C633" t="s">
        <v>206</v>
      </c>
      <c r="D633" t="s">
        <v>199</v>
      </c>
      <c r="E633" t="s">
        <v>207</v>
      </c>
      <c r="F633">
        <v>1</v>
      </c>
      <c r="G633" s="8">
        <v>234.01</v>
      </c>
      <c r="H633" s="2" t="s">
        <v>201</v>
      </c>
      <c r="M633" t="s">
        <v>207</v>
      </c>
      <c r="P633" t="str">
        <f>VLOOKUP(M633,[1]Table1__2!$B:$C,2,FALSE)</f>
        <v>B0FJ2GXG5K</v>
      </c>
    </row>
    <row r="634" spans="1:16" x14ac:dyDescent="0.25">
      <c r="A634" s="1">
        <v>45893</v>
      </c>
      <c r="B634" t="str">
        <f t="shared" si="1"/>
        <v>B0FJ2K6919</v>
      </c>
      <c r="C634" t="s">
        <v>211</v>
      </c>
      <c r="D634" t="s">
        <v>199</v>
      </c>
      <c r="E634" t="s">
        <v>212</v>
      </c>
      <c r="F634">
        <v>1</v>
      </c>
      <c r="G634" s="8">
        <v>211</v>
      </c>
      <c r="H634" s="2" t="s">
        <v>201</v>
      </c>
      <c r="M634" t="s">
        <v>212</v>
      </c>
      <c r="P634" t="str">
        <f>VLOOKUP(M634,[1]Table1__2!$B:$C,2,FALSE)</f>
        <v>B0FJ2K6919</v>
      </c>
    </row>
    <row r="635" spans="1:16" x14ac:dyDescent="0.25">
      <c r="A635" s="1">
        <v>45893</v>
      </c>
      <c r="B635" t="str">
        <f t="shared" si="1"/>
        <v>B0FJ2JBL4J</v>
      </c>
      <c r="C635" t="s">
        <v>209</v>
      </c>
      <c r="D635" t="s">
        <v>199</v>
      </c>
      <c r="E635" t="s">
        <v>210</v>
      </c>
      <c r="F635">
        <v>1</v>
      </c>
      <c r="G635" s="8">
        <v>234.01</v>
      </c>
      <c r="H635" s="2" t="s">
        <v>201</v>
      </c>
      <c r="M635" t="s">
        <v>210</v>
      </c>
      <c r="P635" t="str">
        <f>VLOOKUP(M635,[1]Table1__2!$B:$C,2,FALSE)</f>
        <v>B0FJ2JBL4J</v>
      </c>
    </row>
    <row r="636" spans="1:16" x14ac:dyDescent="0.25">
      <c r="A636" s="1">
        <v>45893</v>
      </c>
      <c r="B636" t="str">
        <f t="shared" si="1"/>
        <v>B0FJ2J1JL6</v>
      </c>
      <c r="C636" t="s">
        <v>198</v>
      </c>
      <c r="D636" t="s">
        <v>199</v>
      </c>
      <c r="E636" t="s">
        <v>200</v>
      </c>
      <c r="F636">
        <v>1</v>
      </c>
      <c r="G636" s="8">
        <v>234.01</v>
      </c>
      <c r="H636" s="2" t="s">
        <v>201</v>
      </c>
      <c r="M636" t="s">
        <v>200</v>
      </c>
      <c r="P636" t="str">
        <f>VLOOKUP(M636,[1]Table1__2!$B:$C,2,FALSE)</f>
        <v>B0FJ2J1JL6</v>
      </c>
    </row>
    <row r="637" spans="1:16" x14ac:dyDescent="0.25">
      <c r="A637" s="1">
        <v>45893</v>
      </c>
      <c r="B637" t="str">
        <f t="shared" si="1"/>
        <v>B0FJ2GXG5K</v>
      </c>
      <c r="C637" t="s">
        <v>206</v>
      </c>
      <c r="D637" t="s">
        <v>199</v>
      </c>
      <c r="E637" t="s">
        <v>207</v>
      </c>
      <c r="F637">
        <v>1</v>
      </c>
      <c r="G637" s="8">
        <v>234.01</v>
      </c>
      <c r="H637" s="2" t="s">
        <v>201</v>
      </c>
      <c r="M637" t="s">
        <v>207</v>
      </c>
      <c r="P637" t="str">
        <f>VLOOKUP(M637,[1]Table1__2!$B:$C,2,FALSE)</f>
        <v>B0FJ2GXG5K</v>
      </c>
    </row>
    <row r="638" spans="1:16" x14ac:dyDescent="0.25">
      <c r="A638" s="1">
        <v>45893</v>
      </c>
      <c r="B638" t="str">
        <f t="shared" si="1"/>
        <v>B0FJ2K6919</v>
      </c>
      <c r="C638" t="s">
        <v>211</v>
      </c>
      <c r="D638" t="s">
        <v>199</v>
      </c>
      <c r="E638" t="s">
        <v>212</v>
      </c>
      <c r="F638">
        <v>1</v>
      </c>
      <c r="G638" s="8">
        <v>211</v>
      </c>
      <c r="H638" s="2" t="s">
        <v>201</v>
      </c>
      <c r="M638" t="s">
        <v>212</v>
      </c>
      <c r="P638" t="str">
        <f>VLOOKUP(M638,[1]Table1__2!$B:$C,2,FALSE)</f>
        <v>B0FJ2K6919</v>
      </c>
    </row>
    <row r="639" spans="1:16" x14ac:dyDescent="0.25">
      <c r="A639" s="1">
        <v>45893</v>
      </c>
      <c r="B639" t="str">
        <f t="shared" si="1"/>
        <v>B0DLVGWRVJ</v>
      </c>
      <c r="C639" t="s">
        <v>204</v>
      </c>
      <c r="D639" t="s">
        <v>27</v>
      </c>
      <c r="E639" t="s">
        <v>208</v>
      </c>
      <c r="F639">
        <v>1</v>
      </c>
      <c r="G639" s="8">
        <v>1749</v>
      </c>
      <c r="H639" s="2" t="s">
        <v>201</v>
      </c>
      <c r="M639" t="s">
        <v>208</v>
      </c>
      <c r="P639" t="str">
        <f>VLOOKUP(M639,[1]Table1__2!$B:$C,2,FALSE)</f>
        <v>B0DLVGWRVJ</v>
      </c>
    </row>
    <row r="640" spans="1:16" x14ac:dyDescent="0.25">
      <c r="A640" s="1">
        <v>45893</v>
      </c>
      <c r="B640" t="str">
        <f t="shared" si="1"/>
        <v>B0FJ2K6919</v>
      </c>
      <c r="C640" t="s">
        <v>211</v>
      </c>
      <c r="D640" t="s">
        <v>199</v>
      </c>
      <c r="E640" t="s">
        <v>212</v>
      </c>
      <c r="F640">
        <v>1</v>
      </c>
      <c r="G640" s="8">
        <v>211</v>
      </c>
      <c r="H640" s="2" t="s">
        <v>201</v>
      </c>
      <c r="M640" t="s">
        <v>212</v>
      </c>
      <c r="P640" t="str">
        <f>VLOOKUP(M640,[1]Table1__2!$B:$C,2,FALSE)</f>
        <v>B0FJ2K6919</v>
      </c>
    </row>
    <row r="641" spans="1:16" x14ac:dyDescent="0.25">
      <c r="A641" s="1">
        <v>45893</v>
      </c>
      <c r="B641" t="str">
        <f t="shared" si="1"/>
        <v>B0FJ2J1JL6</v>
      </c>
      <c r="C641" t="s">
        <v>198</v>
      </c>
      <c r="D641" t="s">
        <v>199</v>
      </c>
      <c r="E641" t="s">
        <v>200</v>
      </c>
      <c r="F641">
        <v>1</v>
      </c>
      <c r="G641" s="8">
        <v>234.01</v>
      </c>
      <c r="H641" s="2" t="s">
        <v>201</v>
      </c>
      <c r="M641" t="s">
        <v>200</v>
      </c>
      <c r="P641" t="str">
        <f>VLOOKUP(M641,[1]Table1__2!$B:$C,2,FALSE)</f>
        <v>B0FJ2J1JL6</v>
      </c>
    </row>
    <row r="642" spans="1:16" x14ac:dyDescent="0.25">
      <c r="A642" s="1">
        <v>45893</v>
      </c>
      <c r="B642" t="str">
        <f t="shared" si="1"/>
        <v>B0FJ2J1JL6</v>
      </c>
      <c r="C642" t="s">
        <v>198</v>
      </c>
      <c r="D642" t="s">
        <v>199</v>
      </c>
      <c r="E642" t="s">
        <v>200</v>
      </c>
      <c r="F642">
        <v>1</v>
      </c>
      <c r="G642" s="8">
        <v>234.01</v>
      </c>
      <c r="H642" s="2" t="s">
        <v>201</v>
      </c>
      <c r="M642" t="s">
        <v>200</v>
      </c>
      <c r="P642" t="str">
        <f>VLOOKUP(M642,[1]Table1__2!$B:$C,2,FALSE)</f>
        <v>B0FJ2J1JL6</v>
      </c>
    </row>
    <row r="643" spans="1:16" x14ac:dyDescent="0.25">
      <c r="A643" s="1">
        <v>45893</v>
      </c>
      <c r="B643" t="str">
        <f t="shared" si="1"/>
        <v>B0FJ2J1JL6</v>
      </c>
      <c r="C643" t="s">
        <v>198</v>
      </c>
      <c r="D643" t="s">
        <v>199</v>
      </c>
      <c r="E643" t="s">
        <v>200</v>
      </c>
      <c r="F643">
        <v>1</v>
      </c>
      <c r="G643" s="8">
        <v>234.01</v>
      </c>
      <c r="H643" s="2" t="s">
        <v>201</v>
      </c>
      <c r="M643" t="s">
        <v>200</v>
      </c>
      <c r="P643" t="str">
        <f>VLOOKUP(M643,[1]Table1__2!$B:$C,2,FALSE)</f>
        <v>B0FJ2J1JL6</v>
      </c>
    </row>
    <row r="644" spans="1:16" x14ac:dyDescent="0.25">
      <c r="A644" s="1">
        <v>45893</v>
      </c>
      <c r="B644" t="str">
        <f t="shared" si="1"/>
        <v>B0FJ2JHL43</v>
      </c>
      <c r="C644" t="s">
        <v>202</v>
      </c>
      <c r="D644" t="s">
        <v>199</v>
      </c>
      <c r="E644" t="s">
        <v>203</v>
      </c>
      <c r="F644">
        <v>1</v>
      </c>
      <c r="G644" s="8">
        <v>293.01</v>
      </c>
      <c r="H644" s="2" t="s">
        <v>201</v>
      </c>
      <c r="M644" t="s">
        <v>203</v>
      </c>
      <c r="P644" t="str">
        <f>VLOOKUP(M644,[1]Table1__2!$B:$C,2,FALSE)</f>
        <v>B0FJ2JHL43</v>
      </c>
    </row>
    <row r="645" spans="1:16" x14ac:dyDescent="0.25">
      <c r="A645" s="1">
        <v>45893</v>
      </c>
      <c r="B645" t="str">
        <f t="shared" si="1"/>
        <v>B0FJ2JBL4J</v>
      </c>
      <c r="C645" t="s">
        <v>209</v>
      </c>
      <c r="D645" t="s">
        <v>199</v>
      </c>
      <c r="E645" t="s">
        <v>210</v>
      </c>
      <c r="F645">
        <v>1</v>
      </c>
      <c r="G645" s="8">
        <v>234.01</v>
      </c>
      <c r="H645" s="2" t="s">
        <v>201</v>
      </c>
      <c r="M645" t="s">
        <v>210</v>
      </c>
      <c r="P645" t="str">
        <f>VLOOKUP(M645,[1]Table1__2!$B:$C,2,FALSE)</f>
        <v>B0FJ2JBL4J</v>
      </c>
    </row>
    <row r="646" spans="1:16" x14ac:dyDescent="0.25">
      <c r="A646" s="1">
        <v>45893</v>
      </c>
      <c r="B646" t="str">
        <f t="shared" si="1"/>
        <v>B0FJ2BZWXK</v>
      </c>
      <c r="C646" t="s">
        <v>214</v>
      </c>
      <c r="D646" t="s">
        <v>199</v>
      </c>
      <c r="E646" t="s">
        <v>215</v>
      </c>
      <c r="F646">
        <v>1</v>
      </c>
      <c r="G646" s="8">
        <v>234.01</v>
      </c>
      <c r="H646" s="2" t="s">
        <v>201</v>
      </c>
      <c r="M646" t="s">
        <v>215</v>
      </c>
      <c r="P646" t="str">
        <f>VLOOKUP(M646,[1]Table1__2!$B:$C,2,FALSE)</f>
        <v>B0FJ2BZWXK</v>
      </c>
    </row>
    <row r="647" spans="1:16" x14ac:dyDescent="0.25">
      <c r="A647" s="1">
        <v>45894</v>
      </c>
      <c r="B647" t="str">
        <f t="shared" si="1"/>
        <v>B0FJ2JBL4J</v>
      </c>
      <c r="C647" t="s">
        <v>209</v>
      </c>
      <c r="D647" t="s">
        <v>199</v>
      </c>
      <c r="E647" t="s">
        <v>210</v>
      </c>
      <c r="F647">
        <v>1</v>
      </c>
      <c r="G647" s="8">
        <v>234.01</v>
      </c>
      <c r="H647" s="2" t="s">
        <v>201</v>
      </c>
      <c r="M647" t="s">
        <v>210</v>
      </c>
      <c r="P647" t="str">
        <f>VLOOKUP(M647,[1]Table1__2!$B:$C,2,FALSE)</f>
        <v>B0FJ2JBL4J</v>
      </c>
    </row>
    <row r="648" spans="1:16" x14ac:dyDescent="0.25">
      <c r="A648" s="1">
        <v>45894</v>
      </c>
      <c r="B648" t="str">
        <f t="shared" si="1"/>
        <v>B0DL5RWSYM</v>
      </c>
      <c r="C648" t="s">
        <v>204</v>
      </c>
      <c r="D648" t="s">
        <v>27</v>
      </c>
      <c r="E648" t="s">
        <v>217</v>
      </c>
      <c r="F648">
        <v>1</v>
      </c>
      <c r="G648" s="8">
        <v>1975</v>
      </c>
      <c r="H648" s="2" t="s">
        <v>201</v>
      </c>
      <c r="M648" t="s">
        <v>217</v>
      </c>
      <c r="P648" t="str">
        <f>VLOOKUP(M648,[1]Table1__2!$B:$C,2,FALSE)</f>
        <v>B0DL5RWSYM</v>
      </c>
    </row>
    <row r="649" spans="1:16" x14ac:dyDescent="0.25">
      <c r="A649" s="1">
        <v>45894</v>
      </c>
      <c r="B649" t="str">
        <f t="shared" si="1"/>
        <v>B0DL5Q78BV</v>
      </c>
      <c r="C649" t="s">
        <v>204</v>
      </c>
      <c r="D649" t="s">
        <v>27</v>
      </c>
      <c r="E649" t="s">
        <v>213</v>
      </c>
      <c r="F649">
        <v>1</v>
      </c>
      <c r="G649" s="8">
        <v>2575</v>
      </c>
      <c r="H649" s="2" t="s">
        <v>201</v>
      </c>
      <c r="M649" t="s">
        <v>213</v>
      </c>
      <c r="P649" t="str">
        <f>VLOOKUP(M649,[1]Table1__2!$B:$C,2,FALSE)</f>
        <v>B0DL5Q78BV</v>
      </c>
    </row>
    <row r="650" spans="1:16" x14ac:dyDescent="0.25">
      <c r="A650" s="1">
        <v>45894</v>
      </c>
      <c r="B650" t="str">
        <f t="shared" si="1"/>
        <v>B0FJ2JHL43</v>
      </c>
      <c r="C650" t="s">
        <v>202</v>
      </c>
      <c r="D650" t="s">
        <v>199</v>
      </c>
      <c r="E650" t="s">
        <v>203</v>
      </c>
      <c r="F650">
        <v>1</v>
      </c>
      <c r="G650" s="8">
        <v>293.01</v>
      </c>
      <c r="H650" s="2" t="s">
        <v>201</v>
      </c>
      <c r="M650" t="s">
        <v>203</v>
      </c>
      <c r="P650" t="str">
        <f>VLOOKUP(M650,[1]Table1__2!$B:$C,2,FALSE)</f>
        <v>B0FJ2JHL43</v>
      </c>
    </row>
    <row r="651" spans="1:16" x14ac:dyDescent="0.25">
      <c r="A651" s="1">
        <v>45894</v>
      </c>
      <c r="B651" t="str">
        <f t="shared" si="1"/>
        <v>B0DLVGWRVJ</v>
      </c>
      <c r="C651" t="s">
        <v>204</v>
      </c>
      <c r="D651" t="s">
        <v>27</v>
      </c>
      <c r="E651" t="s">
        <v>208</v>
      </c>
      <c r="F651">
        <v>1</v>
      </c>
      <c r="G651" s="8">
        <v>1749</v>
      </c>
      <c r="H651" s="2" t="s">
        <v>201</v>
      </c>
      <c r="M651" t="s">
        <v>208</v>
      </c>
      <c r="P651" t="str">
        <f>VLOOKUP(M651,[1]Table1__2!$B:$C,2,FALSE)</f>
        <v>B0DLVGWRVJ</v>
      </c>
    </row>
    <row r="652" spans="1:16" x14ac:dyDescent="0.25">
      <c r="A652" s="1">
        <v>45894</v>
      </c>
      <c r="B652" t="str">
        <f t="shared" si="1"/>
        <v>B0FJ2GXG5K</v>
      </c>
      <c r="C652" t="s">
        <v>206</v>
      </c>
      <c r="D652" t="s">
        <v>199</v>
      </c>
      <c r="E652" t="s">
        <v>207</v>
      </c>
      <c r="F652">
        <v>1</v>
      </c>
      <c r="G652" s="8">
        <v>234.01</v>
      </c>
      <c r="H652" s="2" t="s">
        <v>201</v>
      </c>
      <c r="M652" t="s">
        <v>207</v>
      </c>
      <c r="P652" t="str">
        <f>VLOOKUP(M652,[1]Table1__2!$B:$C,2,FALSE)</f>
        <v>B0FJ2GXG5K</v>
      </c>
    </row>
    <row r="653" spans="1:16" x14ac:dyDescent="0.25">
      <c r="A653" s="1">
        <v>45894</v>
      </c>
      <c r="B653" t="str">
        <f t="shared" si="1"/>
        <v>B0FJ2J1JL6</v>
      </c>
      <c r="C653" t="s">
        <v>198</v>
      </c>
      <c r="D653" t="s">
        <v>199</v>
      </c>
      <c r="E653" t="s">
        <v>200</v>
      </c>
      <c r="F653">
        <v>1</v>
      </c>
      <c r="G653" s="8">
        <v>234.01</v>
      </c>
      <c r="H653" s="2" t="s">
        <v>201</v>
      </c>
      <c r="M653" t="s">
        <v>200</v>
      </c>
      <c r="P653" t="str">
        <f>VLOOKUP(M653,[1]Table1__2!$B:$C,2,FALSE)</f>
        <v>B0FJ2J1JL6</v>
      </c>
    </row>
    <row r="654" spans="1:16" x14ac:dyDescent="0.25">
      <c r="A654" s="1">
        <v>45894</v>
      </c>
      <c r="B654" t="str">
        <f t="shared" si="1"/>
        <v>B0DL5SN9XJ</v>
      </c>
      <c r="C654" t="s">
        <v>204</v>
      </c>
      <c r="D654" t="s">
        <v>27</v>
      </c>
      <c r="E654" t="s">
        <v>216</v>
      </c>
      <c r="F654">
        <v>1</v>
      </c>
      <c r="G654" s="8">
        <v>1975</v>
      </c>
      <c r="H654" s="2" t="s">
        <v>201</v>
      </c>
      <c r="M654" t="s">
        <v>216</v>
      </c>
      <c r="P654" t="str">
        <f>VLOOKUP(M654,[1]Table1__2!$B:$C,2,FALSE)</f>
        <v>B0DL5SN9XJ</v>
      </c>
    </row>
    <row r="655" spans="1:16" x14ac:dyDescent="0.25">
      <c r="A655" s="1">
        <v>45894</v>
      </c>
      <c r="B655" t="str">
        <f t="shared" si="1"/>
        <v>B0DLVGWRVJ</v>
      </c>
      <c r="C655" t="s">
        <v>204</v>
      </c>
      <c r="D655" t="s">
        <v>27</v>
      </c>
      <c r="E655" t="s">
        <v>208</v>
      </c>
      <c r="F655">
        <v>1</v>
      </c>
      <c r="G655" s="8">
        <v>1749</v>
      </c>
      <c r="H655" s="2" t="s">
        <v>201</v>
      </c>
      <c r="M655" t="s">
        <v>208</v>
      </c>
      <c r="P655" t="str">
        <f>VLOOKUP(M655,[1]Table1__2!$B:$C,2,FALSE)</f>
        <v>B0DLVGWRVJ</v>
      </c>
    </row>
    <row r="656" spans="1:16" x14ac:dyDescent="0.25">
      <c r="A656" s="1">
        <v>45894</v>
      </c>
      <c r="B656" t="str">
        <f t="shared" si="1"/>
        <v>B0DR9HSWP3</v>
      </c>
      <c r="C656" t="s">
        <v>218</v>
      </c>
      <c r="D656" t="s">
        <v>27</v>
      </c>
      <c r="E656" t="s">
        <v>219</v>
      </c>
      <c r="F656">
        <v>1</v>
      </c>
      <c r="G656" s="8">
        <v>1199</v>
      </c>
      <c r="H656" s="2" t="s">
        <v>201</v>
      </c>
      <c r="M656" t="s">
        <v>219</v>
      </c>
      <c r="P656" t="str">
        <f>VLOOKUP(M656,[1]Table1__2!$B:$C,2,FALSE)</f>
        <v>B0DR9HSWP3</v>
      </c>
    </row>
    <row r="657" spans="1:16" x14ac:dyDescent="0.25">
      <c r="A657" s="1">
        <v>45894</v>
      </c>
      <c r="B657" t="str">
        <f t="shared" si="1"/>
        <v>B0FJ2BZWXK</v>
      </c>
      <c r="C657" t="s">
        <v>214</v>
      </c>
      <c r="D657" t="s">
        <v>199</v>
      </c>
      <c r="E657" t="s">
        <v>215</v>
      </c>
      <c r="F657">
        <v>1</v>
      </c>
      <c r="G657" s="8">
        <v>234.01</v>
      </c>
      <c r="H657" s="2" t="s">
        <v>201</v>
      </c>
      <c r="M657" t="s">
        <v>215</v>
      </c>
      <c r="P657" t="str">
        <f>VLOOKUP(M657,[1]Table1__2!$B:$C,2,FALSE)</f>
        <v>B0FJ2BZWXK</v>
      </c>
    </row>
    <row r="658" spans="1:16" x14ac:dyDescent="0.25">
      <c r="A658" s="1">
        <v>45894</v>
      </c>
      <c r="B658" t="str">
        <f t="shared" si="1"/>
        <v>B0DL5Q78BV</v>
      </c>
      <c r="C658" t="s">
        <v>204</v>
      </c>
      <c r="D658" t="s">
        <v>27</v>
      </c>
      <c r="E658" t="s">
        <v>213</v>
      </c>
      <c r="F658">
        <v>1</v>
      </c>
      <c r="G658" s="8">
        <v>2575</v>
      </c>
      <c r="H658" s="2" t="s">
        <v>201</v>
      </c>
      <c r="M658" t="s">
        <v>213</v>
      </c>
      <c r="P658" t="str">
        <f>VLOOKUP(M658,[1]Table1__2!$B:$C,2,FALSE)</f>
        <v>B0DL5Q78BV</v>
      </c>
    </row>
    <row r="659" spans="1:16" x14ac:dyDescent="0.25">
      <c r="A659" s="1">
        <v>45894</v>
      </c>
      <c r="B659" t="str">
        <f t="shared" si="1"/>
        <v>B0DL5Q78BV</v>
      </c>
      <c r="C659" t="s">
        <v>204</v>
      </c>
      <c r="D659" t="s">
        <v>27</v>
      </c>
      <c r="E659" t="s">
        <v>213</v>
      </c>
      <c r="F659">
        <v>1</v>
      </c>
      <c r="G659" s="8">
        <v>2575</v>
      </c>
      <c r="H659" s="2" t="s">
        <v>201</v>
      </c>
      <c r="M659" t="s">
        <v>213</v>
      </c>
      <c r="P659" t="str">
        <f>VLOOKUP(M659,[1]Table1__2!$B:$C,2,FALSE)</f>
        <v>B0DL5Q78BV</v>
      </c>
    </row>
    <row r="660" spans="1:16" x14ac:dyDescent="0.25">
      <c r="A660" s="1">
        <v>45894</v>
      </c>
      <c r="B660" t="str">
        <f t="shared" si="1"/>
        <v>B0FJ2K6919</v>
      </c>
      <c r="C660" t="s">
        <v>211</v>
      </c>
      <c r="D660" t="s">
        <v>199</v>
      </c>
      <c r="E660" t="s">
        <v>212</v>
      </c>
      <c r="F660">
        <v>1</v>
      </c>
      <c r="G660" s="8">
        <v>211</v>
      </c>
      <c r="H660" s="2" t="s">
        <v>201</v>
      </c>
      <c r="M660" t="s">
        <v>212</v>
      </c>
      <c r="P660" t="str">
        <f>VLOOKUP(M660,[1]Table1__2!$B:$C,2,FALSE)</f>
        <v>B0FJ2K6919</v>
      </c>
    </row>
    <row r="661" spans="1:16" x14ac:dyDescent="0.25">
      <c r="A661" s="1">
        <v>45894</v>
      </c>
      <c r="B661" t="str">
        <f t="shared" si="1"/>
        <v>B0DL5S9NJK</v>
      </c>
      <c r="C661" t="s">
        <v>204</v>
      </c>
      <c r="D661" t="s">
        <v>27</v>
      </c>
      <c r="E661" t="s">
        <v>220</v>
      </c>
      <c r="F661">
        <v>1</v>
      </c>
      <c r="G661" s="8">
        <v>2575</v>
      </c>
      <c r="H661" s="2" t="s">
        <v>201</v>
      </c>
      <c r="M661" t="s">
        <v>220</v>
      </c>
      <c r="P661" t="str">
        <f>VLOOKUP(M661,[1]Table1__2!$B:$C,2,FALSE)</f>
        <v>B0DL5S9NJK</v>
      </c>
    </row>
    <row r="662" spans="1:16" x14ac:dyDescent="0.25">
      <c r="A662" s="1">
        <v>45894</v>
      </c>
      <c r="B662" t="str">
        <f t="shared" si="1"/>
        <v>B0DR9HSWP3</v>
      </c>
      <c r="C662" t="s">
        <v>218</v>
      </c>
      <c r="D662" t="s">
        <v>27</v>
      </c>
      <c r="E662" t="s">
        <v>219</v>
      </c>
      <c r="F662">
        <v>1</v>
      </c>
      <c r="G662" s="8">
        <v>1199</v>
      </c>
      <c r="H662" s="2" t="s">
        <v>201</v>
      </c>
      <c r="M662" t="s">
        <v>219</v>
      </c>
      <c r="P662" t="str">
        <f>VLOOKUP(M662,[1]Table1__2!$B:$C,2,FALSE)</f>
        <v>B0DR9HSWP3</v>
      </c>
    </row>
    <row r="663" spans="1:16" x14ac:dyDescent="0.25">
      <c r="A663" s="1">
        <v>45895</v>
      </c>
      <c r="B663" t="str">
        <f t="shared" si="1"/>
        <v>B0DL5S9NJK</v>
      </c>
      <c r="C663" t="s">
        <v>204</v>
      </c>
      <c r="D663" t="s">
        <v>27</v>
      </c>
      <c r="E663" t="s">
        <v>220</v>
      </c>
      <c r="F663">
        <v>1</v>
      </c>
      <c r="G663" s="8">
        <v>2575</v>
      </c>
      <c r="H663" s="2" t="s">
        <v>201</v>
      </c>
      <c r="M663" t="s">
        <v>220</v>
      </c>
      <c r="P663" t="str">
        <f>VLOOKUP(M663,[1]Table1__2!$B:$C,2,FALSE)</f>
        <v>B0DL5S9NJK</v>
      </c>
    </row>
    <row r="664" spans="1:16" x14ac:dyDescent="0.25">
      <c r="A664" s="1">
        <v>45895</v>
      </c>
      <c r="B664" t="str">
        <f t="shared" si="1"/>
        <v>B0DL5S9NJK</v>
      </c>
      <c r="C664" t="s">
        <v>204</v>
      </c>
      <c r="D664" t="s">
        <v>27</v>
      </c>
      <c r="E664" t="s">
        <v>220</v>
      </c>
      <c r="F664">
        <v>1</v>
      </c>
      <c r="G664" s="8">
        <v>2575</v>
      </c>
      <c r="H664" s="2" t="s">
        <v>201</v>
      </c>
      <c r="M664" t="s">
        <v>220</v>
      </c>
      <c r="P664" t="str">
        <f>VLOOKUP(M664,[1]Table1__2!$B:$C,2,FALSE)</f>
        <v>B0DL5S9NJK</v>
      </c>
    </row>
    <row r="665" spans="1:16" x14ac:dyDescent="0.25">
      <c r="A665" s="1">
        <v>45895</v>
      </c>
      <c r="B665" t="str">
        <f t="shared" si="1"/>
        <v>B0FJ2JHL43</v>
      </c>
      <c r="C665" t="s">
        <v>202</v>
      </c>
      <c r="D665" t="s">
        <v>199</v>
      </c>
      <c r="E665" t="s">
        <v>203</v>
      </c>
      <c r="F665">
        <v>1</v>
      </c>
      <c r="G665" s="8">
        <v>293.01</v>
      </c>
      <c r="H665" s="2" t="s">
        <v>201</v>
      </c>
      <c r="M665" t="s">
        <v>203</v>
      </c>
      <c r="P665" t="str">
        <f>VLOOKUP(M665,[1]Table1__2!$B:$C,2,FALSE)</f>
        <v>B0FJ2JHL43</v>
      </c>
    </row>
    <row r="666" spans="1:16" x14ac:dyDescent="0.25">
      <c r="A666" s="1">
        <v>45895</v>
      </c>
      <c r="B666" t="str">
        <f t="shared" si="1"/>
        <v>B0DL5Q78BV</v>
      </c>
      <c r="C666" t="s">
        <v>204</v>
      </c>
      <c r="D666" t="s">
        <v>27</v>
      </c>
      <c r="E666" t="s">
        <v>213</v>
      </c>
      <c r="F666">
        <v>1</v>
      </c>
      <c r="G666" s="8">
        <v>2575</v>
      </c>
      <c r="H666" s="2" t="s">
        <v>201</v>
      </c>
      <c r="M666" t="s">
        <v>213</v>
      </c>
      <c r="P666" t="str">
        <f>VLOOKUP(M666,[1]Table1__2!$B:$C,2,FALSE)</f>
        <v>B0DL5Q78BV</v>
      </c>
    </row>
    <row r="667" spans="1:16" x14ac:dyDescent="0.25">
      <c r="A667" s="1">
        <v>45895</v>
      </c>
      <c r="B667" t="str">
        <f t="shared" si="1"/>
        <v>B0FJ2J1JL6</v>
      </c>
      <c r="C667" t="s">
        <v>198</v>
      </c>
      <c r="D667" t="s">
        <v>199</v>
      </c>
      <c r="E667" t="s">
        <v>200</v>
      </c>
      <c r="F667">
        <v>1</v>
      </c>
      <c r="G667" s="8">
        <v>234.01</v>
      </c>
      <c r="H667" s="2" t="s">
        <v>201</v>
      </c>
      <c r="M667" t="s">
        <v>200</v>
      </c>
      <c r="P667" t="str">
        <f>VLOOKUP(M667,[1]Table1__2!$B:$C,2,FALSE)</f>
        <v>B0FJ2J1JL6</v>
      </c>
    </row>
    <row r="668" spans="1:16" x14ac:dyDescent="0.25">
      <c r="A668" s="1">
        <v>45895</v>
      </c>
      <c r="B668" t="str">
        <f t="shared" si="1"/>
        <v>B0DLVGWRVJ</v>
      </c>
      <c r="C668" t="s">
        <v>204</v>
      </c>
      <c r="D668" t="s">
        <v>27</v>
      </c>
      <c r="E668" t="s">
        <v>208</v>
      </c>
      <c r="F668">
        <v>1</v>
      </c>
      <c r="G668" s="8">
        <v>1749</v>
      </c>
      <c r="H668" s="2" t="s">
        <v>201</v>
      </c>
      <c r="M668" t="s">
        <v>208</v>
      </c>
      <c r="P668" t="str">
        <f>VLOOKUP(M668,[1]Table1__2!$B:$C,2,FALSE)</f>
        <v>B0DLVGWRVJ</v>
      </c>
    </row>
    <row r="669" spans="1:16" x14ac:dyDescent="0.25">
      <c r="A669" s="1">
        <v>45895</v>
      </c>
      <c r="B669" t="str">
        <f t="shared" si="1"/>
        <v>B0DLVGWRVJ</v>
      </c>
      <c r="C669" t="s">
        <v>204</v>
      </c>
      <c r="D669" t="s">
        <v>27</v>
      </c>
      <c r="E669" t="s">
        <v>208</v>
      </c>
      <c r="F669">
        <v>1</v>
      </c>
      <c r="G669" s="8">
        <v>1749</v>
      </c>
      <c r="H669" s="2" t="s">
        <v>201</v>
      </c>
      <c r="M669" t="s">
        <v>208</v>
      </c>
      <c r="P669" t="str">
        <f>VLOOKUP(M669,[1]Table1__2!$B:$C,2,FALSE)</f>
        <v>B0DLVGWRVJ</v>
      </c>
    </row>
    <row r="670" spans="1:16" x14ac:dyDescent="0.25">
      <c r="A670" s="1">
        <v>45895</v>
      </c>
      <c r="B670" t="str">
        <f t="shared" si="1"/>
        <v>B0DL5S9NJK</v>
      </c>
      <c r="C670" t="s">
        <v>204</v>
      </c>
      <c r="D670" t="s">
        <v>27</v>
      </c>
      <c r="E670" t="s">
        <v>220</v>
      </c>
      <c r="F670">
        <v>1</v>
      </c>
      <c r="G670" s="8">
        <v>2575</v>
      </c>
      <c r="H670" s="2" t="s">
        <v>201</v>
      </c>
      <c r="M670" t="s">
        <v>220</v>
      </c>
      <c r="P670" t="str">
        <f>VLOOKUP(M670,[1]Table1__2!$B:$C,2,FALSE)</f>
        <v>B0DL5S9NJK</v>
      </c>
    </row>
    <row r="671" spans="1:16" x14ac:dyDescent="0.25">
      <c r="A671" s="1">
        <v>45895</v>
      </c>
      <c r="B671" t="str">
        <f t="shared" si="1"/>
        <v>B0FJ2BZWXK</v>
      </c>
      <c r="C671" t="s">
        <v>214</v>
      </c>
      <c r="D671" t="s">
        <v>199</v>
      </c>
      <c r="E671" t="s">
        <v>215</v>
      </c>
      <c r="F671">
        <v>1</v>
      </c>
      <c r="G671" s="8">
        <v>234.01</v>
      </c>
      <c r="H671" s="2" t="s">
        <v>201</v>
      </c>
      <c r="M671" t="s">
        <v>215</v>
      </c>
      <c r="P671" t="str">
        <f>VLOOKUP(M671,[1]Table1__2!$B:$C,2,FALSE)</f>
        <v>B0FJ2BZWXK</v>
      </c>
    </row>
    <row r="672" spans="1:16" x14ac:dyDescent="0.25">
      <c r="A672" s="1">
        <v>45895</v>
      </c>
      <c r="B672" t="str">
        <f t="shared" si="1"/>
        <v>B0FJ2JHL43</v>
      </c>
      <c r="C672" t="s">
        <v>202</v>
      </c>
      <c r="D672" t="s">
        <v>199</v>
      </c>
      <c r="E672" t="s">
        <v>203</v>
      </c>
      <c r="F672">
        <v>1</v>
      </c>
      <c r="G672" s="8">
        <v>293.01</v>
      </c>
      <c r="H672" s="2" t="s">
        <v>201</v>
      </c>
      <c r="M672" t="s">
        <v>203</v>
      </c>
      <c r="P672" t="str">
        <f>VLOOKUP(M672,[1]Table1__2!$B:$C,2,FALSE)</f>
        <v>B0FJ2JHL43</v>
      </c>
    </row>
    <row r="673" spans="1:16" x14ac:dyDescent="0.25">
      <c r="A673" s="1">
        <v>45895</v>
      </c>
      <c r="B673" t="str">
        <f t="shared" si="1"/>
        <v>B0DL5RWSYM</v>
      </c>
      <c r="C673" t="s">
        <v>204</v>
      </c>
      <c r="D673" t="s">
        <v>27</v>
      </c>
      <c r="E673" t="s">
        <v>217</v>
      </c>
      <c r="F673">
        <v>1</v>
      </c>
      <c r="G673" s="8">
        <v>1975</v>
      </c>
      <c r="H673" s="2" t="s">
        <v>201</v>
      </c>
      <c r="M673" t="s">
        <v>217</v>
      </c>
      <c r="P673" t="str">
        <f>VLOOKUP(M673,[1]Table1__2!$B:$C,2,FALSE)</f>
        <v>B0DL5RWSYM</v>
      </c>
    </row>
    <row r="674" spans="1:16" x14ac:dyDescent="0.25">
      <c r="A674" s="1">
        <v>45896</v>
      </c>
      <c r="B674" t="str">
        <f t="shared" si="1"/>
        <v>B0DL5RWSYM</v>
      </c>
      <c r="C674" t="s">
        <v>204</v>
      </c>
      <c r="D674" t="s">
        <v>27</v>
      </c>
      <c r="E674" t="s">
        <v>217</v>
      </c>
      <c r="F674">
        <v>1</v>
      </c>
      <c r="G674" s="8">
        <v>1975</v>
      </c>
      <c r="H674" s="2" t="s">
        <v>201</v>
      </c>
      <c r="M674" t="s">
        <v>217</v>
      </c>
      <c r="P674" t="str">
        <f>VLOOKUP(M674,[1]Table1__2!$B:$C,2,FALSE)</f>
        <v>B0DL5RWSYM</v>
      </c>
    </row>
    <row r="675" spans="1:16" x14ac:dyDescent="0.25">
      <c r="A675" s="1">
        <v>45896</v>
      </c>
      <c r="B675" t="str">
        <f t="shared" si="1"/>
        <v>B0DL5S1HNX</v>
      </c>
      <c r="C675" t="s">
        <v>204</v>
      </c>
      <c r="D675" t="s">
        <v>27</v>
      </c>
      <c r="E675" t="s">
        <v>221</v>
      </c>
      <c r="F675">
        <v>1</v>
      </c>
      <c r="G675" s="8">
        <v>1975</v>
      </c>
      <c r="H675" s="2" t="s">
        <v>201</v>
      </c>
      <c r="M675" t="s">
        <v>221</v>
      </c>
      <c r="P675" t="str">
        <f>VLOOKUP(M675,[1]Table1__2!$B:$C,2,FALSE)</f>
        <v>B0DL5S1HNX</v>
      </c>
    </row>
    <row r="676" spans="1:16" x14ac:dyDescent="0.25">
      <c r="A676" s="1">
        <v>45896</v>
      </c>
      <c r="B676" t="str">
        <f t="shared" si="1"/>
        <v>B0DL5Q78BV</v>
      </c>
      <c r="C676" t="s">
        <v>204</v>
      </c>
      <c r="D676" t="s">
        <v>27</v>
      </c>
      <c r="E676" t="s">
        <v>213</v>
      </c>
      <c r="F676">
        <v>1</v>
      </c>
      <c r="G676" s="8">
        <v>2575</v>
      </c>
      <c r="H676" s="2" t="s">
        <v>201</v>
      </c>
      <c r="M676" t="s">
        <v>213</v>
      </c>
      <c r="P676" t="str">
        <f>VLOOKUP(M676,[1]Table1__2!$B:$C,2,FALSE)</f>
        <v>B0DL5Q78BV</v>
      </c>
    </row>
    <row r="677" spans="1:16" x14ac:dyDescent="0.25">
      <c r="A677" s="1">
        <v>45896</v>
      </c>
      <c r="B677" t="str">
        <f t="shared" si="1"/>
        <v>B0DL5SN9XJ</v>
      </c>
      <c r="C677" t="s">
        <v>204</v>
      </c>
      <c r="D677" t="s">
        <v>27</v>
      </c>
      <c r="E677" t="s">
        <v>216</v>
      </c>
      <c r="F677">
        <v>1</v>
      </c>
      <c r="G677" s="8">
        <v>1975</v>
      </c>
      <c r="H677" s="2" t="s">
        <v>201</v>
      </c>
      <c r="M677" t="s">
        <v>216</v>
      </c>
      <c r="P677" t="str">
        <f>VLOOKUP(M677,[1]Table1__2!$B:$C,2,FALSE)</f>
        <v>B0DL5SN9XJ</v>
      </c>
    </row>
    <row r="678" spans="1:16" x14ac:dyDescent="0.25">
      <c r="A678" s="1">
        <v>45896</v>
      </c>
      <c r="B678" t="str">
        <f t="shared" si="1"/>
        <v>B0DLVGWRVJ</v>
      </c>
      <c r="C678" t="s">
        <v>204</v>
      </c>
      <c r="D678" t="s">
        <v>27</v>
      </c>
      <c r="E678" t="s">
        <v>208</v>
      </c>
      <c r="F678">
        <v>1</v>
      </c>
      <c r="G678" s="8">
        <v>1749</v>
      </c>
      <c r="H678" s="2" t="s">
        <v>201</v>
      </c>
      <c r="M678" t="s">
        <v>208</v>
      </c>
      <c r="P678" t="str">
        <f>VLOOKUP(M678,[1]Table1__2!$B:$C,2,FALSE)</f>
        <v>B0DLVGWRVJ</v>
      </c>
    </row>
    <row r="679" spans="1:16" x14ac:dyDescent="0.25">
      <c r="A679" s="1">
        <v>45896</v>
      </c>
      <c r="B679" t="str">
        <f t="shared" si="1"/>
        <v>B0DLVGWRVJ</v>
      </c>
      <c r="C679" t="s">
        <v>204</v>
      </c>
      <c r="D679" t="s">
        <v>27</v>
      </c>
      <c r="E679" t="s">
        <v>208</v>
      </c>
      <c r="F679">
        <v>1</v>
      </c>
      <c r="G679" s="8">
        <v>1749</v>
      </c>
      <c r="H679" s="2" t="s">
        <v>201</v>
      </c>
      <c r="M679" t="s">
        <v>208</v>
      </c>
      <c r="P679" t="str">
        <f>VLOOKUP(M679,[1]Table1__2!$B:$C,2,FALSE)</f>
        <v>B0DLVGWRVJ</v>
      </c>
    </row>
    <row r="680" spans="1:16" x14ac:dyDescent="0.25">
      <c r="A680" s="1">
        <v>45896</v>
      </c>
      <c r="B680" t="str">
        <f t="shared" si="1"/>
        <v>B0DLVGWRVJ</v>
      </c>
      <c r="C680" t="s">
        <v>204</v>
      </c>
      <c r="D680" t="s">
        <v>27</v>
      </c>
      <c r="E680" t="s">
        <v>208</v>
      </c>
      <c r="F680">
        <v>1</v>
      </c>
      <c r="G680" s="8">
        <v>1749</v>
      </c>
      <c r="H680" s="2" t="s">
        <v>201</v>
      </c>
      <c r="M680" t="s">
        <v>208</v>
      </c>
      <c r="P680" t="str">
        <f>VLOOKUP(M680,[1]Table1__2!$B:$C,2,FALSE)</f>
        <v>B0DLVGWRVJ</v>
      </c>
    </row>
    <row r="681" spans="1:16" x14ac:dyDescent="0.25">
      <c r="A681" s="1">
        <v>45896</v>
      </c>
      <c r="B681" t="str">
        <f t="shared" ref="B681:B698" si="2">P681</f>
        <v>B0DL5Q78BV</v>
      </c>
      <c r="C681" t="s">
        <v>204</v>
      </c>
      <c r="D681" t="s">
        <v>27</v>
      </c>
      <c r="E681" t="s">
        <v>213</v>
      </c>
      <c r="F681">
        <v>1</v>
      </c>
      <c r="G681" s="8">
        <v>2575</v>
      </c>
      <c r="H681" s="2" t="s">
        <v>201</v>
      </c>
      <c r="M681" t="s">
        <v>213</v>
      </c>
      <c r="P681" t="str">
        <f>VLOOKUP(M681,[1]Table1__2!$B:$C,2,FALSE)</f>
        <v>B0DL5Q78BV</v>
      </c>
    </row>
    <row r="682" spans="1:16" x14ac:dyDescent="0.25">
      <c r="A682" s="1">
        <v>45896</v>
      </c>
      <c r="B682" t="str">
        <f t="shared" si="2"/>
        <v>B0DL5Q78BV</v>
      </c>
      <c r="C682" t="s">
        <v>204</v>
      </c>
      <c r="D682" t="s">
        <v>27</v>
      </c>
      <c r="E682" t="s">
        <v>213</v>
      </c>
      <c r="F682">
        <v>1</v>
      </c>
      <c r="G682" s="8">
        <v>2575</v>
      </c>
      <c r="H682" s="2" t="s">
        <v>201</v>
      </c>
      <c r="M682" t="s">
        <v>213</v>
      </c>
      <c r="P682" t="str">
        <f>VLOOKUP(M682,[1]Table1__2!$B:$C,2,FALSE)</f>
        <v>B0DL5Q78BV</v>
      </c>
    </row>
    <row r="683" spans="1:16" x14ac:dyDescent="0.25">
      <c r="A683" s="1">
        <v>45896</v>
      </c>
      <c r="B683" t="str">
        <f t="shared" si="2"/>
        <v>B0DL5S9NJK</v>
      </c>
      <c r="C683" t="s">
        <v>204</v>
      </c>
      <c r="D683" t="s">
        <v>27</v>
      </c>
      <c r="E683" t="s">
        <v>220</v>
      </c>
      <c r="F683">
        <v>1</v>
      </c>
      <c r="G683" s="8">
        <v>2575</v>
      </c>
      <c r="H683" s="2" t="s">
        <v>201</v>
      </c>
      <c r="M683" t="s">
        <v>220</v>
      </c>
      <c r="P683" t="str">
        <f>VLOOKUP(M683,[1]Table1__2!$B:$C,2,FALSE)</f>
        <v>B0DL5S9NJK</v>
      </c>
    </row>
    <row r="684" spans="1:16" x14ac:dyDescent="0.25">
      <c r="A684" s="1">
        <v>45896</v>
      </c>
      <c r="B684" t="str">
        <f t="shared" si="2"/>
        <v>B0DL5S9NJK</v>
      </c>
      <c r="C684" t="s">
        <v>204</v>
      </c>
      <c r="D684" t="s">
        <v>27</v>
      </c>
      <c r="E684" t="s">
        <v>220</v>
      </c>
      <c r="F684">
        <v>1</v>
      </c>
      <c r="G684" s="8">
        <v>2575</v>
      </c>
      <c r="H684" s="2" t="s">
        <v>201</v>
      </c>
      <c r="M684" t="s">
        <v>220</v>
      </c>
      <c r="P684" t="str">
        <f>VLOOKUP(M684,[1]Table1__2!$B:$C,2,FALSE)</f>
        <v>B0DL5S9NJK</v>
      </c>
    </row>
    <row r="685" spans="1:16" x14ac:dyDescent="0.25">
      <c r="A685" s="1">
        <v>45897</v>
      </c>
      <c r="B685" t="str">
        <f t="shared" si="2"/>
        <v>B0DL5Q78BV</v>
      </c>
      <c r="C685" t="s">
        <v>204</v>
      </c>
      <c r="D685" t="s">
        <v>27</v>
      </c>
      <c r="E685" t="s">
        <v>213</v>
      </c>
      <c r="F685">
        <v>1</v>
      </c>
      <c r="G685" s="8">
        <v>2575</v>
      </c>
      <c r="H685" s="2" t="s">
        <v>201</v>
      </c>
      <c r="M685" t="s">
        <v>213</v>
      </c>
      <c r="P685" t="str">
        <f>VLOOKUP(M685,[1]Table1__2!$B:$C,2,FALSE)</f>
        <v>B0DL5Q78BV</v>
      </c>
    </row>
    <row r="686" spans="1:16" x14ac:dyDescent="0.25">
      <c r="A686" s="1">
        <v>45897</v>
      </c>
      <c r="B686" t="str">
        <f t="shared" si="2"/>
        <v>B0FJ2BZWXK</v>
      </c>
      <c r="C686" t="s">
        <v>214</v>
      </c>
      <c r="D686" t="s">
        <v>199</v>
      </c>
      <c r="E686" t="s">
        <v>215</v>
      </c>
      <c r="F686">
        <v>1</v>
      </c>
      <c r="G686" s="8">
        <v>234.01</v>
      </c>
      <c r="H686" s="2" t="s">
        <v>201</v>
      </c>
      <c r="M686" t="s">
        <v>215</v>
      </c>
      <c r="P686" t="str">
        <f>VLOOKUP(M686,[1]Table1__2!$B:$C,2,FALSE)</f>
        <v>B0FJ2BZWXK</v>
      </c>
    </row>
    <row r="687" spans="1:16" x14ac:dyDescent="0.25">
      <c r="A687" s="1">
        <v>45897</v>
      </c>
      <c r="B687" t="str">
        <f t="shared" si="2"/>
        <v>B0DLVGWRVJ</v>
      </c>
      <c r="C687" t="s">
        <v>204</v>
      </c>
      <c r="D687" t="s">
        <v>27</v>
      </c>
      <c r="E687" t="s">
        <v>208</v>
      </c>
      <c r="F687">
        <v>1</v>
      </c>
      <c r="G687" s="8">
        <v>1749</v>
      </c>
      <c r="H687" s="2" t="s">
        <v>201</v>
      </c>
      <c r="M687" t="s">
        <v>208</v>
      </c>
      <c r="P687" t="str">
        <f>VLOOKUP(M687,[1]Table1__2!$B:$C,2,FALSE)</f>
        <v>B0DLVGWRVJ</v>
      </c>
    </row>
    <row r="688" spans="1:16" x14ac:dyDescent="0.25">
      <c r="A688" s="1">
        <v>45897</v>
      </c>
      <c r="B688" t="str">
        <f t="shared" si="2"/>
        <v>B0DL5RWSYM</v>
      </c>
      <c r="C688" t="s">
        <v>204</v>
      </c>
      <c r="D688" t="s">
        <v>27</v>
      </c>
      <c r="E688" t="s">
        <v>217</v>
      </c>
      <c r="F688">
        <v>1</v>
      </c>
      <c r="G688" s="8">
        <v>1975</v>
      </c>
      <c r="H688" s="2" t="s">
        <v>201</v>
      </c>
      <c r="M688" t="s">
        <v>217</v>
      </c>
      <c r="P688" t="str">
        <f>VLOOKUP(M688,[1]Table1__2!$B:$C,2,FALSE)</f>
        <v>B0DL5RWSYM</v>
      </c>
    </row>
    <row r="689" spans="1:16" x14ac:dyDescent="0.25">
      <c r="A689" s="1">
        <v>45897</v>
      </c>
      <c r="B689" t="str">
        <f t="shared" si="2"/>
        <v>B0DLVGWRVJ</v>
      </c>
      <c r="C689" t="s">
        <v>204</v>
      </c>
      <c r="D689" t="s">
        <v>27</v>
      </c>
      <c r="E689" t="s">
        <v>208</v>
      </c>
      <c r="F689">
        <v>1</v>
      </c>
      <c r="G689" s="8">
        <v>1749</v>
      </c>
      <c r="H689" s="2" t="s">
        <v>201</v>
      </c>
      <c r="M689" t="s">
        <v>208</v>
      </c>
      <c r="P689" t="str">
        <f>VLOOKUP(M689,[1]Table1__2!$B:$C,2,FALSE)</f>
        <v>B0DLVGWRVJ</v>
      </c>
    </row>
    <row r="690" spans="1:16" x14ac:dyDescent="0.25">
      <c r="A690" s="1">
        <v>45897</v>
      </c>
      <c r="B690" t="str">
        <f t="shared" si="2"/>
        <v>B0DL5Q78BV</v>
      </c>
      <c r="C690" t="s">
        <v>204</v>
      </c>
      <c r="D690" t="s">
        <v>27</v>
      </c>
      <c r="E690" t="s">
        <v>213</v>
      </c>
      <c r="F690">
        <v>1</v>
      </c>
      <c r="G690" s="8">
        <v>2575</v>
      </c>
      <c r="H690" s="2" t="s">
        <v>201</v>
      </c>
      <c r="M690" t="s">
        <v>213</v>
      </c>
      <c r="P690" t="str">
        <f>VLOOKUP(M690,[1]Table1__2!$B:$C,2,FALSE)</f>
        <v>B0DL5Q78BV</v>
      </c>
    </row>
    <row r="691" spans="1:16" x14ac:dyDescent="0.25">
      <c r="A691" s="1">
        <v>45897</v>
      </c>
      <c r="B691" t="str">
        <f t="shared" si="2"/>
        <v>B0FJ2J1JL6</v>
      </c>
      <c r="C691" t="s">
        <v>198</v>
      </c>
      <c r="D691" t="s">
        <v>199</v>
      </c>
      <c r="E691" t="s">
        <v>200</v>
      </c>
      <c r="F691">
        <v>1</v>
      </c>
      <c r="G691" s="8">
        <v>234.01</v>
      </c>
      <c r="H691" s="2" t="s">
        <v>201</v>
      </c>
      <c r="M691" t="s">
        <v>200</v>
      </c>
      <c r="P691" t="str">
        <f>VLOOKUP(M691,[1]Table1__2!$B:$C,2,FALSE)</f>
        <v>B0FJ2J1JL6</v>
      </c>
    </row>
    <row r="692" spans="1:16" x14ac:dyDescent="0.25">
      <c r="A692" s="1">
        <v>45897</v>
      </c>
      <c r="B692" t="str">
        <f t="shared" si="2"/>
        <v>B0DLVGWRVJ</v>
      </c>
      <c r="C692" t="s">
        <v>204</v>
      </c>
      <c r="D692" t="s">
        <v>27</v>
      </c>
      <c r="E692" t="s">
        <v>208</v>
      </c>
      <c r="F692">
        <v>1</v>
      </c>
      <c r="G692" s="8">
        <v>1749</v>
      </c>
      <c r="H692" s="2" t="s">
        <v>201</v>
      </c>
      <c r="M692" t="s">
        <v>208</v>
      </c>
      <c r="P692" t="str">
        <f>VLOOKUP(M692,[1]Table1__2!$B:$C,2,FALSE)</f>
        <v>B0DLVGWRVJ</v>
      </c>
    </row>
    <row r="693" spans="1:16" x14ac:dyDescent="0.25">
      <c r="A693" s="1">
        <v>45897</v>
      </c>
      <c r="B693" t="str">
        <f t="shared" si="2"/>
        <v>B0DL5Q78BV</v>
      </c>
      <c r="C693" t="s">
        <v>204</v>
      </c>
      <c r="D693" t="s">
        <v>27</v>
      </c>
      <c r="E693" t="s">
        <v>213</v>
      </c>
      <c r="F693">
        <v>1</v>
      </c>
      <c r="G693" s="8">
        <v>2575</v>
      </c>
      <c r="H693" s="2" t="s">
        <v>201</v>
      </c>
      <c r="M693" t="s">
        <v>213</v>
      </c>
      <c r="P693" t="str">
        <f>VLOOKUP(M693,[1]Table1__2!$B:$C,2,FALSE)</f>
        <v>B0DL5Q78BV</v>
      </c>
    </row>
    <row r="694" spans="1:16" x14ac:dyDescent="0.25">
      <c r="A694" s="1">
        <v>45897</v>
      </c>
      <c r="B694" t="str">
        <f t="shared" si="2"/>
        <v>B0DL5Q78BV</v>
      </c>
      <c r="C694" t="s">
        <v>204</v>
      </c>
      <c r="D694" t="s">
        <v>27</v>
      </c>
      <c r="E694" t="s">
        <v>213</v>
      </c>
      <c r="F694">
        <v>1</v>
      </c>
      <c r="G694" s="8">
        <v>2575</v>
      </c>
      <c r="H694" s="2" t="s">
        <v>201</v>
      </c>
      <c r="M694" t="s">
        <v>213</v>
      </c>
      <c r="P694" t="str">
        <f>VLOOKUP(M694,[1]Table1__2!$B:$C,2,FALSE)</f>
        <v>B0DL5Q78BV</v>
      </c>
    </row>
    <row r="695" spans="1:16" x14ac:dyDescent="0.25">
      <c r="A695" s="1">
        <v>45897</v>
      </c>
      <c r="B695" t="str">
        <f t="shared" si="2"/>
        <v>B0DL5SN9XJ</v>
      </c>
      <c r="C695" t="s">
        <v>204</v>
      </c>
      <c r="D695" t="s">
        <v>27</v>
      </c>
      <c r="E695" t="s">
        <v>216</v>
      </c>
      <c r="F695">
        <v>1</v>
      </c>
      <c r="G695" s="8">
        <v>1975</v>
      </c>
      <c r="H695" s="2" t="s">
        <v>201</v>
      </c>
      <c r="M695" t="s">
        <v>216</v>
      </c>
      <c r="P695" t="str">
        <f>VLOOKUP(M695,[1]Table1__2!$B:$C,2,FALSE)</f>
        <v>B0DL5SN9XJ</v>
      </c>
    </row>
    <row r="696" spans="1:16" x14ac:dyDescent="0.25">
      <c r="A696" s="1">
        <v>45897</v>
      </c>
      <c r="B696" t="str">
        <f t="shared" si="2"/>
        <v>B0DL5SN9XJ</v>
      </c>
      <c r="C696" t="s">
        <v>204</v>
      </c>
      <c r="D696" t="s">
        <v>27</v>
      </c>
      <c r="E696" t="s">
        <v>216</v>
      </c>
      <c r="F696">
        <v>1</v>
      </c>
      <c r="G696" s="8">
        <v>1975</v>
      </c>
      <c r="H696" s="2" t="s">
        <v>201</v>
      </c>
      <c r="M696" t="s">
        <v>216</v>
      </c>
      <c r="P696" t="str">
        <f>VLOOKUP(M696,[1]Table1__2!$B:$C,2,FALSE)</f>
        <v>B0DL5SN9XJ</v>
      </c>
    </row>
    <row r="697" spans="1:16" x14ac:dyDescent="0.25">
      <c r="A697" s="1">
        <v>45897</v>
      </c>
      <c r="B697" t="str">
        <f t="shared" si="2"/>
        <v>B0FJ2JBL4J</v>
      </c>
      <c r="C697" t="s">
        <v>209</v>
      </c>
      <c r="D697" t="s">
        <v>199</v>
      </c>
      <c r="E697" t="s">
        <v>210</v>
      </c>
      <c r="F697">
        <v>1</v>
      </c>
      <c r="G697" s="8">
        <v>234.01</v>
      </c>
      <c r="H697" s="2" t="s">
        <v>201</v>
      </c>
      <c r="M697" t="s">
        <v>210</v>
      </c>
      <c r="P697" t="str">
        <f>VLOOKUP(M697,[1]Table1__2!$B:$C,2,FALSE)</f>
        <v>B0FJ2JBL4J</v>
      </c>
    </row>
    <row r="698" spans="1:16" x14ac:dyDescent="0.25">
      <c r="A698" s="1">
        <v>45897</v>
      </c>
      <c r="B698" t="str">
        <f t="shared" si="2"/>
        <v>B0DL5SN9XJ</v>
      </c>
      <c r="C698" t="s">
        <v>204</v>
      </c>
      <c r="D698" t="s">
        <v>27</v>
      </c>
      <c r="E698" t="s">
        <v>216</v>
      </c>
      <c r="F698">
        <v>1</v>
      </c>
      <c r="G698" s="8">
        <v>1975.02</v>
      </c>
      <c r="H698" s="2" t="s">
        <v>201</v>
      </c>
      <c r="M698" t="s">
        <v>216</v>
      </c>
      <c r="P698" t="str">
        <f>VLOOKUP(M698,[1]Table1__2!$B:$C,2,FALSE)</f>
        <v>B0DL5SN9XJ</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13E638-09CE-4944-9737-3522B39ED2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Visuals</vt:lpstr>
      <vt:lpstr>Pivot</vt:lpstr>
      <vt:lpstr>1P+3P+Myntra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Nikhila Reddy</dc:creator>
  <cp:lastModifiedBy>niranjan reddy</cp:lastModifiedBy>
  <dcterms:created xsi:type="dcterms:W3CDTF">2015-06-05T18:17:20Z</dcterms:created>
  <dcterms:modified xsi:type="dcterms:W3CDTF">2025-11-27T05:43:29Z</dcterms:modified>
</cp:coreProperties>
</file>